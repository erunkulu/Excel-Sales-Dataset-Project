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1 Introduction to Data Analysis and Excel/Day 2/"/>
    </mc:Choice>
  </mc:AlternateContent>
  <xr:revisionPtr revIDLastSave="0" documentId="8_{A2161C99-E98A-4ABD-BFC2-D31AEF4A40C4}" xr6:coauthVersionLast="47" xr6:coauthVersionMax="47" xr10:uidLastSave="{00000000-0000-0000-0000-000000000000}"/>
  <bookViews>
    <workbookView xWindow="-28920" yWindow="-1530" windowWidth="29040" windowHeight="16440" firstSheet="3" activeTab="3" xr2:uid="{00000000-000D-0000-FFFF-FFFF00000000}"/>
  </bookViews>
  <sheets>
    <sheet name="Pivot table Gender and Category" sheetId="4" r:id="rId1"/>
    <sheet name="Sheet2" sheetId="6" state="hidden" r:id="rId2"/>
    <sheet name="Pivot table Genera and category" sheetId="7" r:id="rId3"/>
    <sheet name="Transactions" sheetId="2" r:id="rId4"/>
    <sheet name="retail_sales_dataset" sheetId="1" r:id="rId5"/>
  </sheets>
  <definedNames>
    <definedName name="_xlnm._FilterDatabase" localSheetId="4" hidden="1">retail_sales_dataset!$A$1:$S$1001</definedName>
    <definedName name="_xlcn.WorksheetConnection_retail_sales_dataset.xlsxTable11" hidden="1">retail_sales_dataset!$A$1:$N$1001</definedName>
  </definedNames>
  <calcPr calcId="191028"/>
  <pivotCaches>
    <pivotCache cacheId="2417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J227" i="1" a="1"/>
  <c r="J227" i="1"/>
  <c r="J226" i="1" a="1"/>
  <c r="J226" i="1"/>
  <c r="J223" i="1" a="1"/>
  <c r="J223" i="1"/>
  <c r="J221" i="1" a="1"/>
  <c r="J221" i="1"/>
  <c r="J220" i="1" a="1"/>
  <c r="J220" i="1"/>
  <c r="J219" i="1" a="1"/>
  <c r="J219" i="1"/>
  <c r="J217" i="1" a="1"/>
  <c r="J217" i="1"/>
  <c r="J216" i="1" a="1"/>
  <c r="J216" i="1"/>
  <c r="J207" i="1" a="1"/>
  <c r="J207" i="1"/>
  <c r="J204" i="1" a="1"/>
  <c r="J204" i="1"/>
  <c r="J202" i="1" a="1"/>
  <c r="J202" i="1"/>
  <c r="J199" i="1" a="1"/>
  <c r="J199" i="1"/>
  <c r="J196" i="1" a="1"/>
  <c r="J196" i="1"/>
  <c r="J195" i="1" a="1"/>
  <c r="J195" i="1"/>
  <c r="J193" i="1" a="1"/>
  <c r="J193" i="1"/>
  <c r="J192" i="1" a="1"/>
  <c r="J192" i="1"/>
  <c r="J191" i="1" a="1"/>
  <c r="J191" i="1"/>
  <c r="J190" i="1" a="1"/>
  <c r="J190" i="1"/>
  <c r="J188" i="1" a="1"/>
  <c r="J188" i="1"/>
  <c r="J183" i="1" a="1"/>
  <c r="J183" i="1"/>
  <c r="J174" i="1" a="1"/>
  <c r="J174" i="1"/>
  <c r="J172" i="1" a="1"/>
  <c r="J172" i="1"/>
  <c r="J169" i="1" a="1"/>
  <c r="J169" i="1"/>
  <c r="J166" i="1" a="1"/>
  <c r="J166" i="1"/>
  <c r="J164" i="1" a="1"/>
  <c r="J164" i="1"/>
  <c r="J162" i="1" a="1"/>
  <c r="J162" i="1"/>
  <c r="J158" i="1" a="1"/>
  <c r="J158" i="1"/>
  <c r="J155" i="1" a="1"/>
  <c r="J155" i="1"/>
  <c r="J154" i="1" a="1"/>
  <c r="J154" i="1"/>
  <c r="J151" i="1" a="1"/>
  <c r="J151" i="1"/>
  <c r="J145" i="1" a="1"/>
  <c r="J145" i="1"/>
  <c r="J131" i="1" a="1"/>
  <c r="J131" i="1"/>
  <c r="J123" i="1" a="1"/>
  <c r="J123" i="1"/>
  <c r="J121" i="1" a="1"/>
  <c r="J121" i="1"/>
  <c r="J120" i="1" a="1"/>
  <c r="J120" i="1"/>
  <c r="J116" i="1" a="1"/>
  <c r="J116" i="1"/>
  <c r="J104" i="1" a="1"/>
  <c r="J104" i="1"/>
  <c r="J2" i="1" a="1"/>
  <c r="J2" i="1"/>
  <c r="J100" i="1" a="1"/>
  <c r="J100" i="1"/>
  <c r="J99" i="1" a="1"/>
  <c r="J99" i="1"/>
  <c r="J98" i="1" a="1"/>
  <c r="J98" i="1"/>
  <c r="J93" i="1" a="1"/>
  <c r="J93" i="1"/>
  <c r="J92" i="1" a="1"/>
  <c r="J92" i="1"/>
  <c r="J91" i="1" a="1"/>
  <c r="J91" i="1"/>
  <c r="J90" i="1" a="1"/>
  <c r="J90" i="1"/>
  <c r="J89" i="1" a="1"/>
  <c r="J89" i="1"/>
  <c r="J84" i="1" a="1"/>
  <c r="J84" i="1"/>
  <c r="J76" i="1" a="1"/>
  <c r="J76" i="1"/>
  <c r="J81" i="1" a="1"/>
  <c r="J81" i="1"/>
  <c r="J72" i="1" a="1"/>
  <c r="J72" i="1"/>
  <c r="J70" i="1" a="1"/>
  <c r="J70" i="1"/>
  <c r="J66" i="1" a="1"/>
  <c r="J66" i="1"/>
  <c r="J64" i="1" a="1"/>
  <c r="J64" i="1"/>
  <c r="J49" i="1" a="1"/>
  <c r="J49" i="1"/>
  <c r="J46" i="1" a="1"/>
  <c r="J46" i="1"/>
  <c r="J10" i="1" a="1"/>
  <c r="J10" i="1"/>
  <c r="J238" i="1"/>
  <c r="J280" i="1"/>
  <c r="J294" i="1"/>
  <c r="J357" i="1"/>
  <c r="J360" i="1"/>
  <c r="J363" i="1"/>
  <c r="J379" i="1"/>
  <c r="J386" i="1"/>
  <c r="J389" i="1"/>
  <c r="J396" i="1"/>
  <c r="J440" i="1"/>
  <c r="J499" i="1"/>
  <c r="J550" i="1"/>
  <c r="J565" i="1"/>
  <c r="J587" i="1"/>
  <c r="J697" i="1"/>
  <c r="J808" i="1"/>
  <c r="J948" i="1" a="1"/>
  <c r="J948" i="1"/>
  <c r="J955" i="1" a="1"/>
  <c r="J955" i="1"/>
  <c r="J35" i="1" a="1"/>
  <c r="J35" i="1"/>
  <c r="J234" i="1"/>
  <c r="J323" i="1"/>
  <c r="J489" i="1"/>
  <c r="J549" i="1"/>
  <c r="J569" i="1"/>
  <c r="J612" i="1"/>
  <c r="J641" i="1"/>
  <c r="J652" i="1"/>
  <c r="J667" i="1"/>
  <c r="J692" i="1"/>
  <c r="J707" i="1"/>
  <c r="J729" i="1"/>
  <c r="J792" i="1"/>
  <c r="J816" i="1"/>
  <c r="J865" i="1"/>
  <c r="J876" i="1"/>
  <c r="J904" i="1"/>
  <c r="J913" i="1"/>
  <c r="J922" i="1"/>
  <c r="J943" i="1"/>
  <c r="J995" i="1" a="1"/>
  <c r="J995" i="1"/>
  <c r="J11" i="1" a="1"/>
  <c r="J11" i="1"/>
  <c r="J37" i="1" a="1"/>
  <c r="J37" i="1"/>
  <c r="J315" i="1"/>
  <c r="J325" i="1"/>
  <c r="J326" i="1"/>
  <c r="J337" i="1"/>
  <c r="J480" i="1"/>
  <c r="J570" i="1"/>
  <c r="J614" i="1"/>
  <c r="J691" i="1"/>
  <c r="J702" i="1"/>
  <c r="J722" i="1"/>
  <c r="J781" i="1"/>
  <c r="J789" i="1"/>
  <c r="J814" i="1"/>
  <c r="J823" i="1"/>
  <c r="J886" i="1"/>
  <c r="J889" i="1"/>
  <c r="J895" i="1"/>
  <c r="J998" i="1" a="1"/>
  <c r="J998" i="1"/>
  <c r="J254" i="1"/>
  <c r="J290" i="1"/>
  <c r="J383" i="1"/>
  <c r="J401" i="1"/>
  <c r="J416" i="1"/>
  <c r="J417" i="1"/>
  <c r="J446" i="1"/>
  <c r="J468" i="1"/>
  <c r="J592" i="1"/>
  <c r="J649" i="1"/>
  <c r="J681" i="1"/>
  <c r="J688" i="1"/>
  <c r="J698" i="1"/>
  <c r="J962" i="1" a="1"/>
  <c r="J962" i="1"/>
  <c r="J979" i="1" a="1"/>
  <c r="J979" i="1"/>
  <c r="J50" i="1" a="1"/>
  <c r="J50" i="1"/>
  <c r="J231" i="1"/>
  <c r="J237" i="1"/>
  <c r="J253" i="1"/>
  <c r="J288" i="1"/>
  <c r="J307" i="1"/>
  <c r="J334" i="1"/>
  <c r="J339" i="1"/>
  <c r="J387" i="1"/>
  <c r="J449" i="1"/>
  <c r="J464" i="1"/>
  <c r="J563" i="1"/>
  <c r="J579" i="1"/>
  <c r="J608" i="1"/>
  <c r="J643" i="1"/>
  <c r="J654" i="1"/>
  <c r="J724" i="1"/>
  <c r="J732" i="1"/>
  <c r="J746" i="1"/>
  <c r="J794" i="1"/>
  <c r="J846" i="1"/>
  <c r="J856" i="1"/>
  <c r="J857" i="1"/>
  <c r="J903" i="1"/>
  <c r="J931" i="1"/>
  <c r="J266" i="1"/>
  <c r="J287" i="1"/>
  <c r="J314" i="1"/>
  <c r="J356" i="1"/>
  <c r="J385" i="1"/>
  <c r="J397" i="1"/>
  <c r="J426" i="1"/>
  <c r="J484" i="1"/>
  <c r="J537" i="1"/>
  <c r="J609" i="1"/>
  <c r="J651" i="1"/>
  <c r="J656" i="1"/>
  <c r="J728" i="1"/>
  <c r="J896" i="1"/>
  <c r="J925" i="1"/>
  <c r="J964" i="1" a="1"/>
  <c r="J964" i="1"/>
  <c r="J352" i="1"/>
  <c r="J369" i="1"/>
  <c r="J381" i="1"/>
  <c r="J542" i="1"/>
  <c r="J632" i="1"/>
  <c r="J689" i="1"/>
  <c r="J721" i="1"/>
  <c r="J780" i="1"/>
  <c r="J784" i="1"/>
  <c r="J800" i="1"/>
  <c r="J824" i="1"/>
  <c r="J835" i="1"/>
  <c r="J860" i="1"/>
  <c r="J976" i="1" a="1"/>
  <c r="J976" i="1"/>
  <c r="J985" i="1" a="1"/>
  <c r="J985" i="1"/>
  <c r="J252" i="1"/>
  <c r="J303" i="1"/>
  <c r="J328" i="1"/>
  <c r="J350" i="1"/>
  <c r="J353" i="1"/>
  <c r="J367" i="1"/>
  <c r="J368" i="1"/>
  <c r="J425" i="1"/>
  <c r="J437" i="1"/>
  <c r="J442" i="1"/>
  <c r="J457" i="1"/>
  <c r="J471" i="1"/>
  <c r="J513" i="1"/>
  <c r="J528" i="1"/>
  <c r="J628" i="1"/>
  <c r="J666" i="1"/>
  <c r="J686" i="1"/>
  <c r="J690" i="1"/>
  <c r="J713" i="1"/>
  <c r="J718" i="1"/>
  <c r="J796" i="1"/>
  <c r="J918" i="1"/>
  <c r="J937" i="1"/>
  <c r="J942" i="1"/>
  <c r="J944" i="1"/>
  <c r="J953" i="1" a="1"/>
  <c r="J953" i="1"/>
  <c r="J993" i="1" a="1"/>
  <c r="J993" i="1"/>
  <c r="J36" i="1" a="1"/>
  <c r="J36" i="1"/>
  <c r="J230" i="1"/>
  <c r="J333" i="1"/>
  <c r="J458" i="1"/>
  <c r="J479" i="1"/>
  <c r="J509" i="1"/>
  <c r="J650" i="1"/>
  <c r="J756" i="1"/>
  <c r="J878" i="1"/>
  <c r="J906" i="1"/>
  <c r="J956" i="1" a="1"/>
  <c r="J956" i="1"/>
  <c r="J991" i="1" a="1"/>
  <c r="J991" i="1"/>
  <c r="J229" i="1"/>
  <c r="J347" i="1"/>
  <c r="J375" i="1"/>
  <c r="J451" i="1"/>
  <c r="J601" i="1"/>
  <c r="J648" i="1"/>
  <c r="J659" i="1"/>
  <c r="J719" i="1"/>
  <c r="J783" i="1"/>
  <c r="J811" i="1"/>
  <c r="J815" i="1"/>
  <c r="J888" i="1"/>
  <c r="J915" i="1"/>
  <c r="J961" i="1" a="1"/>
  <c r="J961" i="1"/>
  <c r="J971" i="1" a="1"/>
  <c r="J971" i="1"/>
  <c r="J292" i="1"/>
  <c r="J419" i="1"/>
  <c r="J433" i="1"/>
  <c r="J443" i="1"/>
  <c r="J492" i="1"/>
  <c r="J501" i="1"/>
  <c r="J576" i="1"/>
  <c r="J635" i="1"/>
  <c r="J679" i="1"/>
  <c r="J703" i="1"/>
  <c r="J706" i="1"/>
  <c r="J717" i="1"/>
  <c r="J795" i="1"/>
  <c r="J858" i="1"/>
  <c r="J875" i="1"/>
  <c r="J958" i="1" a="1"/>
  <c r="J958" i="1"/>
  <c r="J967" i="1" a="1"/>
  <c r="J967" i="1"/>
  <c r="J974" i="1" a="1"/>
  <c r="J974" i="1"/>
  <c r="J273" i="1"/>
  <c r="J300" i="1"/>
  <c r="J319" i="1"/>
  <c r="J445" i="1"/>
  <c r="J493" i="1"/>
  <c r="J613" i="1"/>
  <c r="J616" i="1"/>
  <c r="J725" i="1"/>
  <c r="J726" i="1"/>
  <c r="J733" i="1"/>
  <c r="J790" i="1"/>
  <c r="J799" i="1"/>
  <c r="J812" i="1"/>
  <c r="J828" i="1"/>
  <c r="J830" i="1"/>
  <c r="J20" i="1" a="1"/>
  <c r="J20" i="1"/>
  <c r="J60" i="1" a="1"/>
  <c r="J60" i="1"/>
  <c r="J235" i="1"/>
  <c r="J272" i="1"/>
  <c r="J346" i="1"/>
  <c r="J402" i="1"/>
  <c r="J412" i="1"/>
  <c r="J524" i="1"/>
  <c r="J630" i="1"/>
  <c r="J640" i="1"/>
  <c r="J669" i="1"/>
  <c r="J672" i="1"/>
  <c r="J705" i="1"/>
  <c r="J757" i="1"/>
  <c r="J791" i="1"/>
  <c r="J810" i="1"/>
  <c r="J841" i="1"/>
  <c r="J872" i="1"/>
  <c r="J938" i="1"/>
  <c r="J947" i="1"/>
  <c r="J959" i="1" a="1"/>
  <c r="J959" i="1"/>
  <c r="J968" i="1" a="1"/>
  <c r="J968" i="1"/>
  <c r="J997" i="1" a="1"/>
  <c r="J997" i="1"/>
  <c r="J58" i="1" a="1"/>
  <c r="J58" i="1"/>
  <c r="J432" i="1"/>
  <c r="J463" i="1"/>
  <c r="J467" i="1"/>
  <c r="J548" i="1"/>
  <c r="J575" i="1"/>
  <c r="J621" i="1"/>
  <c r="J636" i="1"/>
  <c r="J677" i="1"/>
  <c r="J825" i="1"/>
  <c r="J849" i="1"/>
  <c r="J861" i="1"/>
  <c r="J873" i="1"/>
  <c r="J989" i="1" a="1"/>
  <c r="J989" i="1"/>
  <c r="J15" i="1" a="1"/>
  <c r="J15" i="1"/>
  <c r="J26" i="1" a="1"/>
  <c r="J26" i="1"/>
  <c r="J224" i="1"/>
  <c r="J283" i="1"/>
  <c r="J364" i="1"/>
  <c r="J377" i="1"/>
  <c r="J400" i="1"/>
  <c r="J409" i="1"/>
  <c r="J430" i="1"/>
  <c r="J441" i="1"/>
  <c r="J474" i="1"/>
  <c r="J533" i="1"/>
  <c r="J562" i="1"/>
  <c r="J567" i="1"/>
  <c r="J597" i="1"/>
  <c r="J693" i="1"/>
  <c r="J699" i="1"/>
  <c r="J736" i="1"/>
  <c r="J759" i="1"/>
  <c r="J831" i="1"/>
  <c r="J883" i="1"/>
  <c r="J898" i="1"/>
  <c r="J34" i="1" a="1"/>
  <c r="J34" i="1"/>
  <c r="J22" i="1" a="1"/>
  <c r="J22" i="1"/>
  <c r="J4" i="1" a="1"/>
  <c r="J4" i="1"/>
  <c r="F15" i="1"/>
  <c r="J8" i="1"/>
  <c r="C2" i="2"/>
  <c r="D2" i="1"/>
  <c r="C3" i="2"/>
  <c r="C4" i="2"/>
  <c r="C5" i="2"/>
  <c r="C6" i="2"/>
  <c r="C7" i="2"/>
  <c r="C8" i="2"/>
  <c r="C9" i="2"/>
  <c r="C10" i="2"/>
  <c r="B2" i="1"/>
  <c r="B3" i="1"/>
  <c r="J3" i="1"/>
  <c r="J5" i="1"/>
  <c r="J6" i="1"/>
  <c r="J7" i="1"/>
  <c r="J9" i="1"/>
  <c r="J12" i="1"/>
  <c r="J13" i="1"/>
  <c r="J14" i="1"/>
  <c r="J16" i="1"/>
  <c r="J17" i="1"/>
  <c r="J18" i="1"/>
  <c r="J19" i="1"/>
  <c r="J21" i="1"/>
  <c r="J23" i="1"/>
  <c r="J24" i="1"/>
  <c r="J25" i="1"/>
  <c r="J27" i="1"/>
  <c r="J28" i="1"/>
  <c r="J29" i="1"/>
  <c r="J30" i="1"/>
  <c r="J31" i="1"/>
  <c r="J32" i="1"/>
  <c r="J33" i="1"/>
  <c r="J38" i="1"/>
  <c r="J39" i="1"/>
  <c r="J40" i="1"/>
  <c r="J41" i="1"/>
  <c r="J42" i="1"/>
  <c r="J43" i="1"/>
  <c r="J44" i="1"/>
  <c r="J45" i="1"/>
  <c r="J47" i="1"/>
  <c r="J48" i="1"/>
  <c r="J51" i="1"/>
  <c r="J52" i="1"/>
  <c r="J53" i="1"/>
  <c r="J54" i="1"/>
  <c r="J55" i="1"/>
  <c r="J56" i="1"/>
  <c r="J57" i="1"/>
  <c r="J59" i="1"/>
  <c r="J61" i="1"/>
  <c r="J62" i="1"/>
  <c r="J63" i="1"/>
  <c r="J65" i="1"/>
  <c r="J67" i="1"/>
  <c r="J68" i="1"/>
  <c r="J69" i="1"/>
  <c r="J71" i="1"/>
  <c r="J73" i="1"/>
  <c r="J74" i="1"/>
  <c r="J75" i="1"/>
  <c r="J77" i="1"/>
  <c r="J78" i="1"/>
  <c r="J79" i="1"/>
  <c r="J80" i="1"/>
  <c r="J82" i="1"/>
  <c r="J83" i="1"/>
  <c r="J85" i="1"/>
  <c r="J86" i="1"/>
  <c r="J87" i="1"/>
  <c r="J88" i="1"/>
  <c r="J94" i="1"/>
  <c r="J95" i="1"/>
  <c r="J96" i="1"/>
  <c r="J97" i="1"/>
  <c r="J101" i="1"/>
  <c r="J102" i="1"/>
  <c r="J103" i="1"/>
  <c r="J105" i="1"/>
  <c r="J106" i="1"/>
  <c r="J107" i="1"/>
  <c r="J108" i="1"/>
  <c r="J109" i="1"/>
  <c r="J110" i="1"/>
  <c r="J111" i="1"/>
  <c r="J112" i="1"/>
  <c r="J113" i="1"/>
  <c r="J114" i="1"/>
  <c r="J115" i="1"/>
  <c r="J117" i="1"/>
  <c r="J118" i="1"/>
  <c r="J119" i="1"/>
  <c r="J122" i="1"/>
  <c r="J124" i="1"/>
  <c r="J125" i="1"/>
  <c r="J126" i="1"/>
  <c r="J127" i="1"/>
  <c r="J128" i="1"/>
  <c r="J129" i="1"/>
  <c r="J130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6" i="1"/>
  <c r="J147" i="1"/>
  <c r="J148" i="1"/>
  <c r="J149" i="1"/>
  <c r="J150" i="1"/>
  <c r="J152" i="1"/>
  <c r="J153" i="1"/>
  <c r="J156" i="1"/>
  <c r="J157" i="1"/>
  <c r="J159" i="1"/>
  <c r="J160" i="1"/>
  <c r="J161" i="1"/>
  <c r="J163" i="1"/>
  <c r="J165" i="1"/>
  <c r="J167" i="1"/>
  <c r="J168" i="1"/>
  <c r="J170" i="1"/>
  <c r="J171" i="1"/>
  <c r="J173" i="1"/>
  <c r="J175" i="1"/>
  <c r="J176" i="1"/>
  <c r="J177" i="1"/>
  <c r="J178" i="1"/>
  <c r="J179" i="1"/>
  <c r="J180" i="1"/>
  <c r="J181" i="1"/>
  <c r="J182" i="1"/>
  <c r="J184" i="1"/>
  <c r="J185" i="1"/>
  <c r="J186" i="1"/>
  <c r="J187" i="1"/>
  <c r="J189" i="1"/>
  <c r="J194" i="1"/>
  <c r="J197" i="1"/>
  <c r="J198" i="1"/>
  <c r="J200" i="1"/>
  <c r="J201" i="1"/>
  <c r="J203" i="1"/>
  <c r="J205" i="1"/>
  <c r="J206" i="1"/>
  <c r="J208" i="1"/>
  <c r="J209" i="1"/>
  <c r="J210" i="1"/>
  <c r="J211" i="1"/>
  <c r="J212" i="1"/>
  <c r="J213" i="1"/>
  <c r="J214" i="1"/>
  <c r="J215" i="1"/>
  <c r="J218" i="1"/>
  <c r="J222" i="1"/>
  <c r="J225" i="1"/>
  <c r="J228" i="1"/>
  <c r="J232" i="1"/>
  <c r="J233" i="1"/>
  <c r="J236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5" i="1"/>
  <c r="J256" i="1"/>
  <c r="J257" i="1"/>
  <c r="J258" i="1"/>
  <c r="J259" i="1"/>
  <c r="J260" i="1"/>
  <c r="J261" i="1"/>
  <c r="J262" i="1"/>
  <c r="J263" i="1"/>
  <c r="J264" i="1"/>
  <c r="J265" i="1"/>
  <c r="J267" i="1"/>
  <c r="J268" i="1"/>
  <c r="J269" i="1"/>
  <c r="J270" i="1"/>
  <c r="J271" i="1"/>
  <c r="J274" i="1"/>
  <c r="J275" i="1"/>
  <c r="J276" i="1"/>
  <c r="J277" i="1"/>
  <c r="J278" i="1"/>
  <c r="J279" i="1"/>
  <c r="J281" i="1"/>
  <c r="J282" i="1"/>
  <c r="J284" i="1"/>
  <c r="J285" i="1"/>
  <c r="J286" i="1"/>
  <c r="J289" i="1"/>
  <c r="J291" i="1"/>
  <c r="J293" i="1"/>
  <c r="J295" i="1"/>
  <c r="J296" i="1"/>
  <c r="J297" i="1"/>
  <c r="J298" i="1"/>
  <c r="J299" i="1"/>
  <c r="J301" i="1"/>
  <c r="J302" i="1"/>
  <c r="J304" i="1"/>
  <c r="J305" i="1"/>
  <c r="J306" i="1"/>
  <c r="J308" i="1"/>
  <c r="J309" i="1"/>
  <c r="J310" i="1"/>
  <c r="J311" i="1"/>
  <c r="J312" i="1"/>
  <c r="J313" i="1"/>
  <c r="J316" i="1"/>
  <c r="J317" i="1"/>
  <c r="J318" i="1"/>
  <c r="J320" i="1"/>
  <c r="J321" i="1"/>
  <c r="J322" i="1"/>
  <c r="J324" i="1"/>
  <c r="J327" i="1"/>
  <c r="J329" i="1"/>
  <c r="J330" i="1"/>
  <c r="J331" i="1"/>
  <c r="J332" i="1"/>
  <c r="J335" i="1"/>
  <c r="J336" i="1"/>
  <c r="J338" i="1"/>
  <c r="J340" i="1"/>
  <c r="J341" i="1"/>
  <c r="J342" i="1"/>
  <c r="J343" i="1"/>
  <c r="J344" i="1"/>
  <c r="J345" i="1"/>
  <c r="J348" i="1"/>
  <c r="J349" i="1"/>
  <c r="J351" i="1"/>
  <c r="J354" i="1"/>
  <c r="J355" i="1"/>
  <c r="J358" i="1"/>
  <c r="J359" i="1"/>
  <c r="J361" i="1"/>
  <c r="J362" i="1"/>
  <c r="J365" i="1"/>
  <c r="J366" i="1"/>
  <c r="J370" i="1"/>
  <c r="J371" i="1"/>
  <c r="J372" i="1"/>
  <c r="J373" i="1"/>
  <c r="J374" i="1"/>
  <c r="J376" i="1"/>
  <c r="J378" i="1"/>
  <c r="J380" i="1"/>
  <c r="J382" i="1"/>
  <c r="J384" i="1"/>
  <c r="J388" i="1"/>
  <c r="J390" i="1"/>
  <c r="J391" i="1"/>
  <c r="J392" i="1"/>
  <c r="J393" i="1"/>
  <c r="J394" i="1"/>
  <c r="J395" i="1"/>
  <c r="J398" i="1"/>
  <c r="J399" i="1"/>
  <c r="J403" i="1"/>
  <c r="J404" i="1"/>
  <c r="J405" i="1"/>
  <c r="J406" i="1"/>
  <c r="J407" i="1"/>
  <c r="J408" i="1"/>
  <c r="J410" i="1"/>
  <c r="J411" i="1"/>
  <c r="J413" i="1"/>
  <c r="J414" i="1"/>
  <c r="J415" i="1"/>
  <c r="J418" i="1"/>
  <c r="J420" i="1"/>
  <c r="J421" i="1"/>
  <c r="J422" i="1"/>
  <c r="J423" i="1"/>
  <c r="J424" i="1"/>
  <c r="J427" i="1"/>
  <c r="J428" i="1"/>
  <c r="J429" i="1"/>
  <c r="J431" i="1"/>
  <c r="J434" i="1"/>
  <c r="J435" i="1"/>
  <c r="J436" i="1"/>
  <c r="J438" i="1"/>
  <c r="J439" i="1"/>
  <c r="J444" i="1"/>
  <c r="J447" i="1"/>
  <c r="J448" i="1"/>
  <c r="J450" i="1"/>
  <c r="J452" i="1"/>
  <c r="J453" i="1"/>
  <c r="J454" i="1"/>
  <c r="J455" i="1"/>
  <c r="J456" i="1"/>
  <c r="J459" i="1"/>
  <c r="J460" i="1"/>
  <c r="J461" i="1"/>
  <c r="J462" i="1"/>
  <c r="J465" i="1"/>
  <c r="J466" i="1"/>
  <c r="J469" i="1"/>
  <c r="J470" i="1"/>
  <c r="J472" i="1"/>
  <c r="J473" i="1"/>
  <c r="J475" i="1"/>
  <c r="J476" i="1"/>
  <c r="J477" i="1"/>
  <c r="J478" i="1"/>
  <c r="J481" i="1"/>
  <c r="J482" i="1"/>
  <c r="J483" i="1"/>
  <c r="J485" i="1"/>
  <c r="J486" i="1"/>
  <c r="J487" i="1"/>
  <c r="J488" i="1"/>
  <c r="J490" i="1"/>
  <c r="J491" i="1"/>
  <c r="J494" i="1"/>
  <c r="J495" i="1"/>
  <c r="J496" i="1"/>
  <c r="J497" i="1"/>
  <c r="J498" i="1"/>
  <c r="J500" i="1"/>
  <c r="J502" i="1"/>
  <c r="J503" i="1"/>
  <c r="J504" i="1"/>
  <c r="J505" i="1"/>
  <c r="J506" i="1"/>
  <c r="J507" i="1"/>
  <c r="J508" i="1"/>
  <c r="J510" i="1"/>
  <c r="J511" i="1"/>
  <c r="J512" i="1"/>
  <c r="J514" i="1"/>
  <c r="J515" i="1"/>
  <c r="J516" i="1"/>
  <c r="J517" i="1"/>
  <c r="J518" i="1"/>
  <c r="J519" i="1"/>
  <c r="J520" i="1"/>
  <c r="J521" i="1"/>
  <c r="J522" i="1"/>
  <c r="J523" i="1"/>
  <c r="J525" i="1"/>
  <c r="J526" i="1"/>
  <c r="J527" i="1"/>
  <c r="J529" i="1"/>
  <c r="J530" i="1"/>
  <c r="J531" i="1"/>
  <c r="J532" i="1"/>
  <c r="J534" i="1"/>
  <c r="J535" i="1"/>
  <c r="J536" i="1"/>
  <c r="J538" i="1"/>
  <c r="J539" i="1"/>
  <c r="J540" i="1"/>
  <c r="J541" i="1"/>
  <c r="J543" i="1"/>
  <c r="J544" i="1"/>
  <c r="J545" i="1"/>
  <c r="J546" i="1"/>
  <c r="J547" i="1"/>
  <c r="J551" i="1"/>
  <c r="J552" i="1"/>
  <c r="J553" i="1"/>
  <c r="J554" i="1"/>
  <c r="J555" i="1"/>
  <c r="J556" i="1"/>
  <c r="J557" i="1"/>
  <c r="J558" i="1"/>
  <c r="J559" i="1"/>
  <c r="J560" i="1"/>
  <c r="J561" i="1"/>
  <c r="J564" i="1"/>
  <c r="J566" i="1"/>
  <c r="J568" i="1"/>
  <c r="J571" i="1"/>
  <c r="J572" i="1"/>
  <c r="J573" i="1"/>
  <c r="J574" i="1"/>
  <c r="J577" i="1"/>
  <c r="J578" i="1"/>
  <c r="J580" i="1"/>
  <c r="J581" i="1"/>
  <c r="J582" i="1"/>
  <c r="J583" i="1"/>
  <c r="J584" i="1"/>
  <c r="J585" i="1"/>
  <c r="J586" i="1"/>
  <c r="J588" i="1"/>
  <c r="J589" i="1"/>
  <c r="J590" i="1"/>
  <c r="J591" i="1"/>
  <c r="J593" i="1"/>
  <c r="J594" i="1"/>
  <c r="J595" i="1"/>
  <c r="J596" i="1"/>
  <c r="J598" i="1"/>
  <c r="J599" i="1"/>
  <c r="J600" i="1"/>
  <c r="J602" i="1"/>
  <c r="J603" i="1"/>
  <c r="J604" i="1"/>
  <c r="J605" i="1"/>
  <c r="J606" i="1"/>
  <c r="J607" i="1"/>
  <c r="J610" i="1"/>
  <c r="J611" i="1"/>
  <c r="J615" i="1"/>
  <c r="J617" i="1"/>
  <c r="J618" i="1"/>
  <c r="J619" i="1"/>
  <c r="J620" i="1"/>
  <c r="J622" i="1"/>
  <c r="J623" i="1"/>
  <c r="J624" i="1"/>
  <c r="J625" i="1"/>
  <c r="J626" i="1"/>
  <c r="J627" i="1"/>
  <c r="J629" i="1"/>
  <c r="J631" i="1"/>
  <c r="J633" i="1"/>
  <c r="J634" i="1"/>
  <c r="J637" i="1"/>
  <c r="J638" i="1"/>
  <c r="J639" i="1"/>
  <c r="J642" i="1"/>
  <c r="J644" i="1"/>
  <c r="J645" i="1"/>
  <c r="J646" i="1"/>
  <c r="J647" i="1"/>
  <c r="J653" i="1"/>
  <c r="J655" i="1"/>
  <c r="J657" i="1"/>
  <c r="J658" i="1"/>
  <c r="J660" i="1"/>
  <c r="J661" i="1"/>
  <c r="J662" i="1"/>
  <c r="J663" i="1"/>
  <c r="J664" i="1"/>
  <c r="J665" i="1"/>
  <c r="J668" i="1"/>
  <c r="J670" i="1"/>
  <c r="J671" i="1"/>
  <c r="J673" i="1"/>
  <c r="J674" i="1"/>
  <c r="J675" i="1"/>
  <c r="J676" i="1"/>
  <c r="J678" i="1"/>
  <c r="J680" i="1"/>
  <c r="J682" i="1"/>
  <c r="J683" i="1"/>
  <c r="J684" i="1"/>
  <c r="J685" i="1"/>
  <c r="J687" i="1"/>
  <c r="J694" i="1"/>
  <c r="J695" i="1"/>
  <c r="J696" i="1"/>
  <c r="J700" i="1"/>
  <c r="J701" i="1"/>
  <c r="J704" i="1"/>
  <c r="J708" i="1"/>
  <c r="J709" i="1"/>
  <c r="J710" i="1"/>
  <c r="J711" i="1"/>
  <c r="J712" i="1"/>
  <c r="J714" i="1"/>
  <c r="J715" i="1"/>
  <c r="J716" i="1"/>
  <c r="J720" i="1"/>
  <c r="J723" i="1"/>
  <c r="J727" i="1"/>
  <c r="J730" i="1"/>
  <c r="J731" i="1"/>
  <c r="J734" i="1"/>
  <c r="J735" i="1"/>
  <c r="J737" i="1"/>
  <c r="J738" i="1"/>
  <c r="J739" i="1"/>
  <c r="J740" i="1"/>
  <c r="J741" i="1"/>
  <c r="J742" i="1"/>
  <c r="J743" i="1"/>
  <c r="J744" i="1"/>
  <c r="J745" i="1"/>
  <c r="J747" i="1"/>
  <c r="J748" i="1"/>
  <c r="J749" i="1"/>
  <c r="J750" i="1"/>
  <c r="J751" i="1"/>
  <c r="J752" i="1"/>
  <c r="J753" i="1"/>
  <c r="J754" i="1"/>
  <c r="J755" i="1"/>
  <c r="J758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2" i="1"/>
  <c r="J785" i="1"/>
  <c r="J786" i="1"/>
  <c r="J787" i="1"/>
  <c r="J788" i="1"/>
  <c r="J793" i="1"/>
  <c r="J797" i="1"/>
  <c r="J798" i="1"/>
  <c r="J801" i="1"/>
  <c r="J802" i="1"/>
  <c r="J803" i="1"/>
  <c r="J804" i="1"/>
  <c r="J805" i="1"/>
  <c r="J806" i="1"/>
  <c r="J807" i="1"/>
  <c r="J809" i="1"/>
  <c r="J813" i="1"/>
  <c r="J817" i="1"/>
  <c r="J818" i="1"/>
  <c r="J819" i="1"/>
  <c r="J820" i="1"/>
  <c r="J821" i="1"/>
  <c r="J822" i="1"/>
  <c r="J826" i="1"/>
  <c r="J827" i="1"/>
  <c r="J829" i="1"/>
  <c r="J832" i="1"/>
  <c r="J833" i="1"/>
  <c r="J834" i="1"/>
  <c r="J836" i="1"/>
  <c r="J837" i="1"/>
  <c r="J838" i="1"/>
  <c r="J839" i="1"/>
  <c r="J840" i="1"/>
  <c r="J842" i="1"/>
  <c r="J843" i="1"/>
  <c r="J844" i="1"/>
  <c r="J845" i="1"/>
  <c r="J847" i="1"/>
  <c r="J848" i="1"/>
  <c r="J850" i="1"/>
  <c r="J851" i="1"/>
  <c r="J852" i="1"/>
  <c r="J853" i="1"/>
  <c r="J854" i="1"/>
  <c r="J855" i="1"/>
  <c r="J859" i="1"/>
  <c r="J862" i="1"/>
  <c r="J863" i="1"/>
  <c r="J864" i="1"/>
  <c r="J866" i="1"/>
  <c r="J867" i="1"/>
  <c r="J868" i="1"/>
  <c r="J869" i="1"/>
  <c r="J870" i="1"/>
  <c r="J871" i="1"/>
  <c r="J874" i="1"/>
  <c r="J877" i="1"/>
  <c r="J879" i="1"/>
  <c r="J880" i="1"/>
  <c r="J881" i="1"/>
  <c r="J882" i="1"/>
  <c r="J884" i="1"/>
  <c r="J885" i="1"/>
  <c r="J887" i="1"/>
  <c r="J890" i="1"/>
  <c r="J891" i="1"/>
  <c r="J892" i="1"/>
  <c r="J893" i="1"/>
  <c r="J894" i="1"/>
  <c r="J897" i="1"/>
  <c r="J899" i="1"/>
  <c r="J900" i="1"/>
  <c r="J901" i="1"/>
  <c r="J902" i="1"/>
  <c r="J905" i="1"/>
  <c r="J907" i="1"/>
  <c r="J908" i="1"/>
  <c r="J909" i="1"/>
  <c r="J910" i="1"/>
  <c r="J911" i="1"/>
  <c r="J912" i="1"/>
  <c r="J914" i="1"/>
  <c r="J916" i="1"/>
  <c r="J917" i="1"/>
  <c r="J919" i="1"/>
  <c r="J920" i="1"/>
  <c r="J921" i="1"/>
  <c r="J923" i="1"/>
  <c r="J924" i="1"/>
  <c r="J926" i="1"/>
  <c r="J927" i="1"/>
  <c r="J928" i="1"/>
  <c r="J929" i="1"/>
  <c r="J930" i="1"/>
  <c r="J932" i="1"/>
  <c r="J933" i="1"/>
  <c r="J934" i="1"/>
  <c r="J935" i="1"/>
  <c r="J936" i="1"/>
  <c r="J939" i="1"/>
  <c r="J940" i="1"/>
  <c r="J941" i="1"/>
  <c r="J945" i="1"/>
  <c r="J946" i="1"/>
  <c r="J949" i="1"/>
  <c r="J950" i="1"/>
  <c r="J951" i="1"/>
  <c r="J952" i="1"/>
  <c r="J954" i="1"/>
  <c r="J957" i="1"/>
  <c r="J960" i="1"/>
  <c r="J963" i="1"/>
  <c r="J965" i="1"/>
  <c r="J966" i="1"/>
  <c r="J969" i="1"/>
  <c r="J970" i="1"/>
  <c r="J972" i="1"/>
  <c r="J973" i="1"/>
  <c r="J975" i="1"/>
  <c r="J977" i="1"/>
  <c r="J978" i="1"/>
  <c r="J980" i="1"/>
  <c r="J981" i="1"/>
  <c r="J982" i="1"/>
  <c r="J983" i="1"/>
  <c r="J984" i="1"/>
  <c r="J986" i="1"/>
  <c r="J987" i="1"/>
  <c r="J988" i="1"/>
  <c r="J990" i="1"/>
  <c r="J992" i="1"/>
  <c r="J994" i="1"/>
  <c r="J996" i="1"/>
  <c r="J999" i="1"/>
  <c r="J1000" i="1"/>
  <c r="J1001" i="1"/>
  <c r="F3" i="1"/>
  <c r="F4" i="1"/>
  <c r="F5" i="1"/>
  <c r="F6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U13" i="1"/>
  <c r="T13" i="1"/>
  <c r="U12" i="1"/>
  <c r="T12" i="1"/>
  <c r="U11" i="1"/>
  <c r="T11" i="1"/>
  <c r="O2" i="1"/>
  <c r="Q2" i="1" s="1"/>
  <c r="O3" i="1"/>
  <c r="Q3" i="1" s="1"/>
  <c r="O4" i="1"/>
  <c r="Q4" i="1" s="1"/>
  <c r="O5" i="1"/>
  <c r="Q5" i="1" s="1"/>
  <c r="O6" i="1"/>
  <c r="Q6" i="1" s="1"/>
  <c r="O7" i="1"/>
  <c r="Q7" i="1" s="1"/>
  <c r="O8" i="1"/>
  <c r="Q8" i="1" s="1"/>
  <c r="O9" i="1"/>
  <c r="Q9" i="1" s="1"/>
  <c r="O10" i="1"/>
  <c r="Q10" i="1" s="1"/>
  <c r="O11" i="1"/>
  <c r="O12" i="1"/>
  <c r="Q12" i="1" s="1"/>
  <c r="O13" i="1"/>
  <c r="Q13" i="1" s="1"/>
  <c r="O14" i="1"/>
  <c r="Q14" i="1" s="1"/>
  <c r="O15" i="1"/>
  <c r="Q15" i="1" s="1"/>
  <c r="O16" i="1"/>
  <c r="O17" i="1"/>
  <c r="Q17" i="1" s="1"/>
  <c r="O18" i="1"/>
  <c r="Q18" i="1" s="1"/>
  <c r="O19" i="1"/>
  <c r="Q19" i="1" s="1"/>
  <c r="O20" i="1"/>
  <c r="Q20" i="1" s="1"/>
  <c r="O21" i="1"/>
  <c r="Q21" i="1" s="1"/>
  <c r="O22" i="1"/>
  <c r="Q22" i="1" s="1"/>
  <c r="O23" i="1"/>
  <c r="Q23" i="1" s="1"/>
  <c r="O24" i="1"/>
  <c r="Q24" i="1" s="1"/>
  <c r="O25" i="1"/>
  <c r="Q25" i="1" s="1"/>
  <c r="O26" i="1"/>
  <c r="O27" i="1"/>
  <c r="Q27" i="1" s="1"/>
  <c r="O28" i="1"/>
  <c r="Q28" i="1" s="1"/>
  <c r="O29" i="1"/>
  <c r="Q29" i="1" s="1"/>
  <c r="O30" i="1"/>
  <c r="Q30" i="1" s="1"/>
  <c r="O31" i="1"/>
  <c r="O32" i="1"/>
  <c r="Q32" i="1" s="1"/>
  <c r="O33" i="1"/>
  <c r="Q33" i="1" s="1"/>
  <c r="O34" i="1"/>
  <c r="Q34" i="1" s="1"/>
  <c r="O35" i="1"/>
  <c r="Q35" i="1" s="1"/>
  <c r="O36" i="1"/>
  <c r="Q36" i="1" s="1"/>
  <c r="O37" i="1"/>
  <c r="Q37" i="1" s="1"/>
  <c r="O38" i="1"/>
  <c r="Q38" i="1" s="1"/>
  <c r="O39" i="1"/>
  <c r="Q39" i="1" s="1"/>
  <c r="O40" i="1"/>
  <c r="Q40" i="1" s="1"/>
  <c r="O41" i="1"/>
  <c r="Q41" i="1" s="1"/>
  <c r="O42" i="1"/>
  <c r="Q42" i="1" s="1"/>
  <c r="O43" i="1"/>
  <c r="Q43" i="1" s="1"/>
  <c r="O44" i="1"/>
  <c r="Q44" i="1" s="1"/>
  <c r="O45" i="1"/>
  <c r="Q45" i="1" s="1"/>
  <c r="O46" i="1"/>
  <c r="Q46" i="1" s="1"/>
  <c r="O47" i="1"/>
  <c r="Q47" i="1" s="1"/>
  <c r="O48" i="1"/>
  <c r="Q48" i="1" s="1"/>
  <c r="O49" i="1"/>
  <c r="Q49" i="1" s="1"/>
  <c r="O50" i="1"/>
  <c r="Q50" i="1" s="1"/>
  <c r="O51" i="1"/>
  <c r="Q51" i="1" s="1"/>
  <c r="O52" i="1"/>
  <c r="Q52" i="1" s="1"/>
  <c r="O53" i="1"/>
  <c r="Q53" i="1" s="1"/>
  <c r="O54" i="1"/>
  <c r="Q54" i="1" s="1"/>
  <c r="O55" i="1"/>
  <c r="O56" i="1"/>
  <c r="O57" i="1"/>
  <c r="Q57" i="1" s="1"/>
  <c r="O58" i="1"/>
  <c r="Q58" i="1" s="1"/>
  <c r="O59" i="1"/>
  <c r="Q59" i="1" s="1"/>
  <c r="O60" i="1"/>
  <c r="Q60" i="1" s="1"/>
  <c r="O61" i="1"/>
  <c r="Q61" i="1" s="1"/>
  <c r="O62" i="1"/>
  <c r="Q62" i="1" s="1"/>
  <c r="O63" i="1"/>
  <c r="Q63" i="1" s="1"/>
  <c r="O64" i="1"/>
  <c r="Q64" i="1" s="1"/>
  <c r="O65" i="1"/>
  <c r="Q65" i="1" s="1"/>
  <c r="O66" i="1"/>
  <c r="Q66" i="1" s="1"/>
  <c r="O67" i="1"/>
  <c r="Q67" i="1" s="1"/>
  <c r="O68" i="1"/>
  <c r="O69" i="1"/>
  <c r="Q69" i="1" s="1"/>
  <c r="O70" i="1"/>
  <c r="Q70" i="1" s="1"/>
  <c r="O71" i="1"/>
  <c r="Q71" i="1" s="1"/>
  <c r="O72" i="1"/>
  <c r="Q72" i="1" s="1"/>
  <c r="O73" i="1"/>
  <c r="Q73" i="1" s="1"/>
  <c r="O74" i="1"/>
  <c r="Q74" i="1" s="1"/>
  <c r="O75" i="1"/>
  <c r="Q75" i="1" s="1"/>
  <c r="O76" i="1"/>
  <c r="Q76" i="1" s="1"/>
  <c r="O77" i="1"/>
  <c r="Q77" i="1" s="1"/>
  <c r="O78" i="1"/>
  <c r="Q78" i="1" s="1"/>
  <c r="O79" i="1"/>
  <c r="Q79" i="1" s="1"/>
  <c r="O80" i="1"/>
  <c r="Q80" i="1" s="1"/>
  <c r="O81" i="1"/>
  <c r="Q81" i="1" s="1"/>
  <c r="O82" i="1"/>
  <c r="Q82" i="1" s="1"/>
  <c r="O83" i="1"/>
  <c r="Q83" i="1" s="1"/>
  <c r="O84" i="1"/>
  <c r="Q84" i="1" s="1"/>
  <c r="O85" i="1"/>
  <c r="Q85" i="1" s="1"/>
  <c r="O86" i="1"/>
  <c r="Q86" i="1" s="1"/>
  <c r="O87" i="1"/>
  <c r="Q87" i="1" s="1"/>
  <c r="O88" i="1"/>
  <c r="Q88" i="1" s="1"/>
  <c r="O89" i="1"/>
  <c r="Q89" i="1" s="1"/>
  <c r="O90" i="1"/>
  <c r="O91" i="1"/>
  <c r="Q91" i="1" s="1"/>
  <c r="O92" i="1"/>
  <c r="Q92" i="1" s="1"/>
  <c r="O93" i="1"/>
  <c r="Q93" i="1" s="1"/>
  <c r="O94" i="1"/>
  <c r="Q94" i="1" s="1"/>
  <c r="O95" i="1"/>
  <c r="Q95" i="1" s="1"/>
  <c r="O96" i="1"/>
  <c r="Q96" i="1" s="1"/>
  <c r="O97" i="1"/>
  <c r="Q97" i="1" s="1"/>
  <c r="O98" i="1"/>
  <c r="Q98" i="1" s="1"/>
  <c r="O99" i="1"/>
  <c r="Q99" i="1" s="1"/>
  <c r="O100" i="1"/>
  <c r="Q100" i="1" s="1"/>
  <c r="O101" i="1"/>
  <c r="O102" i="1"/>
  <c r="Q102" i="1" s="1"/>
  <c r="O103" i="1"/>
  <c r="Q103" i="1" s="1"/>
  <c r="O104" i="1"/>
  <c r="Q104" i="1" s="1"/>
  <c r="O105" i="1"/>
  <c r="Q105" i="1" s="1"/>
  <c r="O106" i="1"/>
  <c r="Q106" i="1" s="1"/>
  <c r="O107" i="1"/>
  <c r="Q107" i="1" s="1"/>
  <c r="O108" i="1"/>
  <c r="Q108" i="1" s="1"/>
  <c r="O109" i="1"/>
  <c r="Q109" i="1" s="1"/>
  <c r="O110" i="1"/>
  <c r="Q110" i="1" s="1"/>
  <c r="O111" i="1"/>
  <c r="Q111" i="1" s="1"/>
  <c r="O112" i="1"/>
  <c r="Q112" i="1" s="1"/>
  <c r="O113" i="1"/>
  <c r="Q113" i="1" s="1"/>
  <c r="O114" i="1"/>
  <c r="Q114" i="1" s="1"/>
  <c r="O115" i="1"/>
  <c r="Q115" i="1" s="1"/>
  <c r="O116" i="1"/>
  <c r="Q116" i="1" s="1"/>
  <c r="O117" i="1"/>
  <c r="Q117" i="1" s="1"/>
  <c r="O118" i="1"/>
  <c r="Q118" i="1" s="1"/>
  <c r="O119" i="1"/>
  <c r="Q119" i="1" s="1"/>
  <c r="O120" i="1"/>
  <c r="Q120" i="1" s="1"/>
  <c r="O121" i="1"/>
  <c r="Q121" i="1" s="1"/>
  <c r="O122" i="1"/>
  <c r="Q122" i="1" s="1"/>
  <c r="O123" i="1"/>
  <c r="Q123" i="1" s="1"/>
  <c r="O124" i="1"/>
  <c r="Q124" i="1" s="1"/>
  <c r="O125" i="1"/>
  <c r="Q125" i="1" s="1"/>
  <c r="O126" i="1"/>
  <c r="Q126" i="1" s="1"/>
  <c r="O127" i="1"/>
  <c r="Q127" i="1" s="1"/>
  <c r="O128" i="1"/>
  <c r="Q128" i="1" s="1"/>
  <c r="O129" i="1"/>
  <c r="Q129" i="1" s="1"/>
  <c r="O130" i="1"/>
  <c r="Q130" i="1" s="1"/>
  <c r="O131" i="1"/>
  <c r="Q131" i="1" s="1"/>
  <c r="O132" i="1"/>
  <c r="Q132" i="1" s="1"/>
  <c r="O133" i="1"/>
  <c r="Q133" i="1" s="1"/>
  <c r="O134" i="1"/>
  <c r="Q134" i="1" s="1"/>
  <c r="O135" i="1"/>
  <c r="Q135" i="1" s="1"/>
  <c r="O136" i="1"/>
  <c r="Q136" i="1" s="1"/>
  <c r="O137" i="1"/>
  <c r="Q137" i="1" s="1"/>
  <c r="O138" i="1"/>
  <c r="Q138" i="1" s="1"/>
  <c r="O139" i="1"/>
  <c r="Q139" i="1" s="1"/>
  <c r="O140" i="1"/>
  <c r="Q140" i="1" s="1"/>
  <c r="O141" i="1"/>
  <c r="Q141" i="1" s="1"/>
  <c r="O142" i="1"/>
  <c r="Q142" i="1" s="1"/>
  <c r="O143" i="1"/>
  <c r="Q143" i="1" s="1"/>
  <c r="O144" i="1"/>
  <c r="Q144" i="1" s="1"/>
  <c r="O145" i="1"/>
  <c r="Q145" i="1" s="1"/>
  <c r="O146" i="1"/>
  <c r="Q146" i="1" s="1"/>
  <c r="O147" i="1"/>
  <c r="Q147" i="1" s="1"/>
  <c r="O148" i="1"/>
  <c r="Q148" i="1" s="1"/>
  <c r="O149" i="1"/>
  <c r="Q149" i="1" s="1"/>
  <c r="O150" i="1"/>
  <c r="Q150" i="1" s="1"/>
  <c r="O151" i="1"/>
  <c r="Q151" i="1" s="1"/>
  <c r="O152" i="1"/>
  <c r="Q152" i="1" s="1"/>
  <c r="O153" i="1"/>
  <c r="Q153" i="1" s="1"/>
  <c r="O154" i="1"/>
  <c r="Q154" i="1" s="1"/>
  <c r="O155" i="1"/>
  <c r="Q155" i="1" s="1"/>
  <c r="O156" i="1"/>
  <c r="Q156" i="1" s="1"/>
  <c r="O157" i="1"/>
  <c r="Q157" i="1" s="1"/>
  <c r="O158" i="1"/>
  <c r="Q158" i="1" s="1"/>
  <c r="O159" i="1"/>
  <c r="Q159" i="1" s="1"/>
  <c r="O160" i="1"/>
  <c r="Q160" i="1" s="1"/>
  <c r="O161" i="1"/>
  <c r="Q161" i="1" s="1"/>
  <c r="O162" i="1"/>
  <c r="Q162" i="1" s="1"/>
  <c r="O163" i="1"/>
  <c r="Q163" i="1" s="1"/>
  <c r="O164" i="1"/>
  <c r="Q164" i="1" s="1"/>
  <c r="O165" i="1"/>
  <c r="Q165" i="1" s="1"/>
  <c r="O166" i="1"/>
  <c r="Q166" i="1" s="1"/>
  <c r="O167" i="1"/>
  <c r="Q167" i="1" s="1"/>
  <c r="O168" i="1"/>
  <c r="Q168" i="1" s="1"/>
  <c r="O169" i="1"/>
  <c r="Q169" i="1" s="1"/>
  <c r="O170" i="1"/>
  <c r="Q170" i="1" s="1"/>
  <c r="O171" i="1"/>
  <c r="Q171" i="1" s="1"/>
  <c r="O172" i="1"/>
  <c r="Q172" i="1" s="1"/>
  <c r="O173" i="1"/>
  <c r="Q173" i="1" s="1"/>
  <c r="O174" i="1"/>
  <c r="Q174" i="1" s="1"/>
  <c r="O175" i="1"/>
  <c r="Q175" i="1" s="1"/>
  <c r="O176" i="1"/>
  <c r="Q176" i="1" s="1"/>
  <c r="O177" i="1"/>
  <c r="Q177" i="1" s="1"/>
  <c r="O178" i="1"/>
  <c r="Q178" i="1" s="1"/>
  <c r="O179" i="1"/>
  <c r="Q179" i="1" s="1"/>
  <c r="O180" i="1"/>
  <c r="Q180" i="1" s="1"/>
  <c r="O181" i="1"/>
  <c r="Q181" i="1" s="1"/>
  <c r="O182" i="1"/>
  <c r="Q182" i="1" s="1"/>
  <c r="O183" i="1"/>
  <c r="Q183" i="1" s="1"/>
  <c r="O184" i="1"/>
  <c r="Q184" i="1" s="1"/>
  <c r="O185" i="1"/>
  <c r="Q185" i="1" s="1"/>
  <c r="O186" i="1"/>
  <c r="Q186" i="1" s="1"/>
  <c r="O187" i="1"/>
  <c r="Q187" i="1" s="1"/>
  <c r="O188" i="1"/>
  <c r="Q188" i="1" s="1"/>
  <c r="O189" i="1"/>
  <c r="Q189" i="1" s="1"/>
  <c r="O190" i="1"/>
  <c r="Q190" i="1" s="1"/>
  <c r="O191" i="1"/>
  <c r="Q191" i="1" s="1"/>
  <c r="O192" i="1"/>
  <c r="Q192" i="1" s="1"/>
  <c r="O193" i="1"/>
  <c r="Q193" i="1" s="1"/>
  <c r="O194" i="1"/>
  <c r="Q194" i="1" s="1"/>
  <c r="O195" i="1"/>
  <c r="Q195" i="1" s="1"/>
  <c r="O196" i="1"/>
  <c r="Q196" i="1" s="1"/>
  <c r="O197" i="1"/>
  <c r="Q197" i="1" s="1"/>
  <c r="O198" i="1"/>
  <c r="Q198" i="1" s="1"/>
  <c r="O199" i="1"/>
  <c r="Q199" i="1" s="1"/>
  <c r="O200" i="1"/>
  <c r="Q200" i="1" s="1"/>
  <c r="O201" i="1"/>
  <c r="Q201" i="1" s="1"/>
  <c r="O202" i="1"/>
  <c r="Q202" i="1" s="1"/>
  <c r="O203" i="1"/>
  <c r="Q203" i="1" s="1"/>
  <c r="O204" i="1"/>
  <c r="Q204" i="1" s="1"/>
  <c r="O205" i="1"/>
  <c r="Q205" i="1" s="1"/>
  <c r="O206" i="1"/>
  <c r="Q206" i="1" s="1"/>
  <c r="O207" i="1"/>
  <c r="Q207" i="1" s="1"/>
  <c r="O208" i="1"/>
  <c r="Q208" i="1" s="1"/>
  <c r="O209" i="1"/>
  <c r="Q209" i="1" s="1"/>
  <c r="O210" i="1"/>
  <c r="Q210" i="1" s="1"/>
  <c r="O211" i="1"/>
  <c r="Q211" i="1" s="1"/>
  <c r="O212" i="1"/>
  <c r="Q212" i="1" s="1"/>
  <c r="O213" i="1"/>
  <c r="Q213" i="1" s="1"/>
  <c r="O214" i="1"/>
  <c r="Q214" i="1" s="1"/>
  <c r="O215" i="1"/>
  <c r="Q215" i="1" s="1"/>
  <c r="O216" i="1"/>
  <c r="Q216" i="1" s="1"/>
  <c r="O217" i="1"/>
  <c r="Q217" i="1" s="1"/>
  <c r="O218" i="1"/>
  <c r="Q218" i="1" s="1"/>
  <c r="O219" i="1"/>
  <c r="Q219" i="1" s="1"/>
  <c r="O220" i="1"/>
  <c r="Q220" i="1" s="1"/>
  <c r="O221" i="1"/>
  <c r="Q221" i="1" s="1"/>
  <c r="O222" i="1"/>
  <c r="Q222" i="1" s="1"/>
  <c r="O223" i="1"/>
  <c r="Q223" i="1" s="1"/>
  <c r="O224" i="1"/>
  <c r="Q224" i="1" s="1"/>
  <c r="O225" i="1"/>
  <c r="Q225" i="1" s="1"/>
  <c r="O226" i="1"/>
  <c r="Q226" i="1" s="1"/>
  <c r="O227" i="1"/>
  <c r="Q227" i="1" s="1"/>
  <c r="O228" i="1"/>
  <c r="Q228" i="1" s="1"/>
  <c r="O229" i="1"/>
  <c r="Q229" i="1" s="1"/>
  <c r="O230" i="1"/>
  <c r="Q230" i="1" s="1"/>
  <c r="O231" i="1"/>
  <c r="Q231" i="1" s="1"/>
  <c r="O232" i="1"/>
  <c r="Q232" i="1" s="1"/>
  <c r="O233" i="1"/>
  <c r="Q233" i="1" s="1"/>
  <c r="O234" i="1"/>
  <c r="Q234" i="1" s="1"/>
  <c r="O235" i="1"/>
  <c r="Q235" i="1" s="1"/>
  <c r="O236" i="1"/>
  <c r="Q236" i="1" s="1"/>
  <c r="O237" i="1"/>
  <c r="Q237" i="1" s="1"/>
  <c r="O238" i="1"/>
  <c r="Q238" i="1" s="1"/>
  <c r="O239" i="1"/>
  <c r="Q239" i="1" s="1"/>
  <c r="O240" i="1"/>
  <c r="Q240" i="1" s="1"/>
  <c r="O241" i="1"/>
  <c r="Q241" i="1" s="1"/>
  <c r="O242" i="1"/>
  <c r="Q242" i="1" s="1"/>
  <c r="O243" i="1"/>
  <c r="Q243" i="1" s="1"/>
  <c r="O244" i="1"/>
  <c r="Q244" i="1" s="1"/>
  <c r="O245" i="1"/>
  <c r="Q245" i="1" s="1"/>
  <c r="O246" i="1"/>
  <c r="Q246" i="1" s="1"/>
  <c r="O247" i="1"/>
  <c r="Q247" i="1" s="1"/>
  <c r="O248" i="1"/>
  <c r="Q248" i="1" s="1"/>
  <c r="O249" i="1"/>
  <c r="Q249" i="1" s="1"/>
  <c r="O250" i="1"/>
  <c r="Q250" i="1" s="1"/>
  <c r="O251" i="1"/>
  <c r="Q251" i="1" s="1"/>
  <c r="O252" i="1"/>
  <c r="Q252" i="1" s="1"/>
  <c r="O253" i="1"/>
  <c r="Q253" i="1" s="1"/>
  <c r="O254" i="1"/>
  <c r="Q254" i="1" s="1"/>
  <c r="O255" i="1"/>
  <c r="Q255" i="1" s="1"/>
  <c r="O256" i="1"/>
  <c r="Q256" i="1" s="1"/>
  <c r="O257" i="1"/>
  <c r="Q257" i="1" s="1"/>
  <c r="O258" i="1"/>
  <c r="Q258" i="1" s="1"/>
  <c r="O259" i="1"/>
  <c r="Q259" i="1" s="1"/>
  <c r="O260" i="1"/>
  <c r="Q260" i="1" s="1"/>
  <c r="O261" i="1"/>
  <c r="Q261" i="1" s="1"/>
  <c r="O262" i="1"/>
  <c r="Q262" i="1" s="1"/>
  <c r="O263" i="1"/>
  <c r="Q263" i="1" s="1"/>
  <c r="O264" i="1"/>
  <c r="Q264" i="1" s="1"/>
  <c r="O265" i="1"/>
  <c r="Q265" i="1" s="1"/>
  <c r="O266" i="1"/>
  <c r="Q266" i="1" s="1"/>
  <c r="O267" i="1"/>
  <c r="Q267" i="1" s="1"/>
  <c r="O268" i="1"/>
  <c r="Q268" i="1" s="1"/>
  <c r="O269" i="1"/>
  <c r="Q269" i="1" s="1"/>
  <c r="O270" i="1"/>
  <c r="Q270" i="1" s="1"/>
  <c r="O271" i="1"/>
  <c r="Q271" i="1" s="1"/>
  <c r="O272" i="1"/>
  <c r="Q272" i="1" s="1"/>
  <c r="O273" i="1"/>
  <c r="Q273" i="1" s="1"/>
  <c r="O274" i="1"/>
  <c r="Q274" i="1" s="1"/>
  <c r="O275" i="1"/>
  <c r="Q275" i="1" s="1"/>
  <c r="O276" i="1"/>
  <c r="Q276" i="1" s="1"/>
  <c r="O277" i="1"/>
  <c r="Q277" i="1" s="1"/>
  <c r="O278" i="1"/>
  <c r="Q278" i="1" s="1"/>
  <c r="O279" i="1"/>
  <c r="Q279" i="1" s="1"/>
  <c r="O280" i="1"/>
  <c r="Q280" i="1" s="1"/>
  <c r="O281" i="1"/>
  <c r="Q281" i="1" s="1"/>
  <c r="O282" i="1"/>
  <c r="Q282" i="1" s="1"/>
  <c r="O283" i="1"/>
  <c r="Q283" i="1" s="1"/>
  <c r="O284" i="1"/>
  <c r="Q284" i="1" s="1"/>
  <c r="O285" i="1"/>
  <c r="Q285" i="1" s="1"/>
  <c r="O286" i="1"/>
  <c r="Q286" i="1" s="1"/>
  <c r="O287" i="1"/>
  <c r="Q287" i="1" s="1"/>
  <c r="O288" i="1"/>
  <c r="Q288" i="1" s="1"/>
  <c r="O289" i="1"/>
  <c r="Q289" i="1" s="1"/>
  <c r="O290" i="1"/>
  <c r="Q290" i="1" s="1"/>
  <c r="O291" i="1"/>
  <c r="Q291" i="1" s="1"/>
  <c r="O292" i="1"/>
  <c r="Q292" i="1" s="1"/>
  <c r="O293" i="1"/>
  <c r="Q293" i="1" s="1"/>
  <c r="O294" i="1"/>
  <c r="Q294" i="1" s="1"/>
  <c r="O295" i="1"/>
  <c r="Q295" i="1" s="1"/>
  <c r="O296" i="1"/>
  <c r="Q296" i="1" s="1"/>
  <c r="O297" i="1"/>
  <c r="Q297" i="1" s="1"/>
  <c r="O298" i="1"/>
  <c r="Q298" i="1" s="1"/>
  <c r="O299" i="1"/>
  <c r="Q299" i="1" s="1"/>
  <c r="O300" i="1"/>
  <c r="Q300" i="1" s="1"/>
  <c r="O301" i="1"/>
  <c r="Q301" i="1" s="1"/>
  <c r="O302" i="1"/>
  <c r="Q302" i="1" s="1"/>
  <c r="O303" i="1"/>
  <c r="Q303" i="1" s="1"/>
  <c r="O304" i="1"/>
  <c r="Q304" i="1" s="1"/>
  <c r="O305" i="1"/>
  <c r="Q305" i="1" s="1"/>
  <c r="O306" i="1"/>
  <c r="Q306" i="1" s="1"/>
  <c r="O307" i="1"/>
  <c r="Q307" i="1" s="1"/>
  <c r="O308" i="1"/>
  <c r="Q308" i="1" s="1"/>
  <c r="O309" i="1"/>
  <c r="Q309" i="1" s="1"/>
  <c r="O310" i="1"/>
  <c r="Q310" i="1" s="1"/>
  <c r="O311" i="1"/>
  <c r="Q311" i="1" s="1"/>
  <c r="O312" i="1"/>
  <c r="Q312" i="1" s="1"/>
  <c r="O313" i="1"/>
  <c r="Q313" i="1" s="1"/>
  <c r="O314" i="1"/>
  <c r="Q314" i="1" s="1"/>
  <c r="O315" i="1"/>
  <c r="Q315" i="1" s="1"/>
  <c r="O316" i="1"/>
  <c r="Q316" i="1" s="1"/>
  <c r="O317" i="1"/>
  <c r="Q317" i="1" s="1"/>
  <c r="O318" i="1"/>
  <c r="Q318" i="1" s="1"/>
  <c r="O319" i="1"/>
  <c r="Q319" i="1" s="1"/>
  <c r="O320" i="1"/>
  <c r="Q320" i="1" s="1"/>
  <c r="O321" i="1"/>
  <c r="Q321" i="1" s="1"/>
  <c r="O322" i="1"/>
  <c r="Q322" i="1" s="1"/>
  <c r="O323" i="1"/>
  <c r="Q323" i="1" s="1"/>
  <c r="O324" i="1"/>
  <c r="Q324" i="1" s="1"/>
  <c r="O325" i="1"/>
  <c r="Q325" i="1" s="1"/>
  <c r="O326" i="1"/>
  <c r="Q326" i="1" s="1"/>
  <c r="O327" i="1"/>
  <c r="Q327" i="1" s="1"/>
  <c r="O328" i="1"/>
  <c r="Q328" i="1" s="1"/>
  <c r="O329" i="1"/>
  <c r="Q329" i="1" s="1"/>
  <c r="O330" i="1"/>
  <c r="Q330" i="1" s="1"/>
  <c r="O331" i="1"/>
  <c r="Q331" i="1" s="1"/>
  <c r="O332" i="1"/>
  <c r="Q332" i="1" s="1"/>
  <c r="O333" i="1"/>
  <c r="Q333" i="1" s="1"/>
  <c r="O334" i="1"/>
  <c r="Q334" i="1" s="1"/>
  <c r="O335" i="1"/>
  <c r="Q335" i="1" s="1"/>
  <c r="O336" i="1"/>
  <c r="Q336" i="1" s="1"/>
  <c r="O337" i="1"/>
  <c r="Q337" i="1" s="1"/>
  <c r="O338" i="1"/>
  <c r="Q338" i="1" s="1"/>
  <c r="O339" i="1"/>
  <c r="Q339" i="1" s="1"/>
  <c r="O340" i="1"/>
  <c r="Q340" i="1" s="1"/>
  <c r="O341" i="1"/>
  <c r="Q341" i="1" s="1"/>
  <c r="O342" i="1"/>
  <c r="Q342" i="1" s="1"/>
  <c r="O343" i="1"/>
  <c r="Q343" i="1" s="1"/>
  <c r="O344" i="1"/>
  <c r="Q344" i="1" s="1"/>
  <c r="O345" i="1"/>
  <c r="Q345" i="1" s="1"/>
  <c r="O346" i="1"/>
  <c r="Q346" i="1" s="1"/>
  <c r="O347" i="1"/>
  <c r="Q347" i="1" s="1"/>
  <c r="O348" i="1"/>
  <c r="Q348" i="1" s="1"/>
  <c r="O349" i="1"/>
  <c r="Q349" i="1" s="1"/>
  <c r="O350" i="1"/>
  <c r="Q350" i="1" s="1"/>
  <c r="O351" i="1"/>
  <c r="Q351" i="1" s="1"/>
  <c r="O352" i="1"/>
  <c r="Q352" i="1" s="1"/>
  <c r="O353" i="1"/>
  <c r="Q353" i="1" s="1"/>
  <c r="O354" i="1"/>
  <c r="Q354" i="1" s="1"/>
  <c r="O355" i="1"/>
  <c r="Q355" i="1" s="1"/>
  <c r="O356" i="1"/>
  <c r="Q356" i="1" s="1"/>
  <c r="O357" i="1"/>
  <c r="Q357" i="1" s="1"/>
  <c r="O358" i="1"/>
  <c r="Q358" i="1" s="1"/>
  <c r="O359" i="1"/>
  <c r="Q359" i="1" s="1"/>
  <c r="O360" i="1"/>
  <c r="Q360" i="1" s="1"/>
  <c r="O361" i="1"/>
  <c r="Q361" i="1" s="1"/>
  <c r="O362" i="1"/>
  <c r="Q362" i="1" s="1"/>
  <c r="O363" i="1"/>
  <c r="Q363" i="1" s="1"/>
  <c r="O364" i="1"/>
  <c r="Q364" i="1" s="1"/>
  <c r="O365" i="1"/>
  <c r="Q365" i="1" s="1"/>
  <c r="O366" i="1"/>
  <c r="Q366" i="1" s="1"/>
  <c r="O367" i="1"/>
  <c r="Q367" i="1" s="1"/>
  <c r="O368" i="1"/>
  <c r="Q368" i="1" s="1"/>
  <c r="O369" i="1"/>
  <c r="Q369" i="1" s="1"/>
  <c r="O370" i="1"/>
  <c r="Q370" i="1" s="1"/>
  <c r="O371" i="1"/>
  <c r="Q371" i="1" s="1"/>
  <c r="O372" i="1"/>
  <c r="Q372" i="1" s="1"/>
  <c r="O373" i="1"/>
  <c r="Q373" i="1" s="1"/>
  <c r="O374" i="1"/>
  <c r="Q374" i="1" s="1"/>
  <c r="O375" i="1"/>
  <c r="Q375" i="1" s="1"/>
  <c r="O376" i="1"/>
  <c r="Q376" i="1" s="1"/>
  <c r="O377" i="1"/>
  <c r="Q377" i="1" s="1"/>
  <c r="O378" i="1"/>
  <c r="Q378" i="1" s="1"/>
  <c r="O379" i="1"/>
  <c r="Q379" i="1" s="1"/>
  <c r="O380" i="1"/>
  <c r="Q380" i="1" s="1"/>
  <c r="O381" i="1"/>
  <c r="Q381" i="1" s="1"/>
  <c r="O382" i="1"/>
  <c r="Q382" i="1" s="1"/>
  <c r="O383" i="1"/>
  <c r="Q383" i="1" s="1"/>
  <c r="O384" i="1"/>
  <c r="Q384" i="1" s="1"/>
  <c r="O385" i="1"/>
  <c r="Q385" i="1" s="1"/>
  <c r="O386" i="1"/>
  <c r="Q386" i="1" s="1"/>
  <c r="O387" i="1"/>
  <c r="Q387" i="1" s="1"/>
  <c r="O388" i="1"/>
  <c r="Q388" i="1" s="1"/>
  <c r="O389" i="1"/>
  <c r="Q389" i="1" s="1"/>
  <c r="O390" i="1"/>
  <c r="Q390" i="1" s="1"/>
  <c r="O391" i="1"/>
  <c r="Q391" i="1" s="1"/>
  <c r="O392" i="1"/>
  <c r="Q392" i="1" s="1"/>
  <c r="O393" i="1"/>
  <c r="Q393" i="1" s="1"/>
  <c r="O394" i="1"/>
  <c r="Q394" i="1" s="1"/>
  <c r="O395" i="1"/>
  <c r="Q395" i="1" s="1"/>
  <c r="O396" i="1"/>
  <c r="Q396" i="1" s="1"/>
  <c r="O397" i="1"/>
  <c r="Q397" i="1" s="1"/>
  <c r="O398" i="1"/>
  <c r="Q398" i="1" s="1"/>
  <c r="O399" i="1"/>
  <c r="Q399" i="1" s="1"/>
  <c r="O400" i="1"/>
  <c r="Q400" i="1" s="1"/>
  <c r="O401" i="1"/>
  <c r="Q401" i="1" s="1"/>
  <c r="O402" i="1"/>
  <c r="Q402" i="1" s="1"/>
  <c r="O403" i="1"/>
  <c r="Q403" i="1" s="1"/>
  <c r="O404" i="1"/>
  <c r="Q404" i="1" s="1"/>
  <c r="O405" i="1"/>
  <c r="Q405" i="1" s="1"/>
  <c r="O406" i="1"/>
  <c r="Q406" i="1" s="1"/>
  <c r="O407" i="1"/>
  <c r="Q407" i="1" s="1"/>
  <c r="O408" i="1"/>
  <c r="Q408" i="1" s="1"/>
  <c r="O409" i="1"/>
  <c r="Q409" i="1" s="1"/>
  <c r="O410" i="1"/>
  <c r="Q410" i="1" s="1"/>
  <c r="O411" i="1"/>
  <c r="Q411" i="1" s="1"/>
  <c r="O412" i="1"/>
  <c r="Q412" i="1" s="1"/>
  <c r="O413" i="1"/>
  <c r="Q413" i="1" s="1"/>
  <c r="O414" i="1"/>
  <c r="Q414" i="1" s="1"/>
  <c r="O415" i="1"/>
  <c r="Q415" i="1" s="1"/>
  <c r="O416" i="1"/>
  <c r="Q416" i="1" s="1"/>
  <c r="O417" i="1"/>
  <c r="Q417" i="1" s="1"/>
  <c r="O418" i="1"/>
  <c r="Q418" i="1" s="1"/>
  <c r="O419" i="1"/>
  <c r="Q419" i="1" s="1"/>
  <c r="O420" i="1"/>
  <c r="Q420" i="1" s="1"/>
  <c r="O421" i="1"/>
  <c r="Q421" i="1" s="1"/>
  <c r="O422" i="1"/>
  <c r="Q422" i="1" s="1"/>
  <c r="O423" i="1"/>
  <c r="Q423" i="1" s="1"/>
  <c r="O424" i="1"/>
  <c r="Q424" i="1" s="1"/>
  <c r="O425" i="1"/>
  <c r="Q425" i="1" s="1"/>
  <c r="O426" i="1"/>
  <c r="Q426" i="1" s="1"/>
  <c r="O427" i="1"/>
  <c r="Q427" i="1" s="1"/>
  <c r="O428" i="1"/>
  <c r="Q428" i="1" s="1"/>
  <c r="O429" i="1"/>
  <c r="Q429" i="1" s="1"/>
  <c r="O430" i="1"/>
  <c r="Q430" i="1" s="1"/>
  <c r="O431" i="1"/>
  <c r="Q431" i="1" s="1"/>
  <c r="O432" i="1"/>
  <c r="Q432" i="1" s="1"/>
  <c r="O433" i="1"/>
  <c r="Q433" i="1" s="1"/>
  <c r="O434" i="1"/>
  <c r="Q434" i="1" s="1"/>
  <c r="O435" i="1"/>
  <c r="Q435" i="1" s="1"/>
  <c r="O436" i="1"/>
  <c r="Q436" i="1" s="1"/>
  <c r="O437" i="1"/>
  <c r="Q437" i="1" s="1"/>
  <c r="O438" i="1"/>
  <c r="Q438" i="1" s="1"/>
  <c r="O439" i="1"/>
  <c r="Q439" i="1" s="1"/>
  <c r="O440" i="1"/>
  <c r="Q440" i="1" s="1"/>
  <c r="O441" i="1"/>
  <c r="Q441" i="1" s="1"/>
  <c r="O442" i="1"/>
  <c r="Q442" i="1" s="1"/>
  <c r="O443" i="1"/>
  <c r="Q443" i="1" s="1"/>
  <c r="O444" i="1"/>
  <c r="Q444" i="1" s="1"/>
  <c r="O445" i="1"/>
  <c r="Q445" i="1" s="1"/>
  <c r="O446" i="1"/>
  <c r="Q446" i="1" s="1"/>
  <c r="O447" i="1"/>
  <c r="Q447" i="1" s="1"/>
  <c r="O448" i="1"/>
  <c r="Q448" i="1" s="1"/>
  <c r="O449" i="1"/>
  <c r="Q449" i="1" s="1"/>
  <c r="O450" i="1"/>
  <c r="Q450" i="1" s="1"/>
  <c r="O451" i="1"/>
  <c r="Q451" i="1" s="1"/>
  <c r="O452" i="1"/>
  <c r="Q452" i="1" s="1"/>
  <c r="O453" i="1"/>
  <c r="Q453" i="1" s="1"/>
  <c r="O454" i="1"/>
  <c r="Q454" i="1" s="1"/>
  <c r="O455" i="1"/>
  <c r="Q455" i="1" s="1"/>
  <c r="O456" i="1"/>
  <c r="Q456" i="1" s="1"/>
  <c r="O457" i="1"/>
  <c r="Q457" i="1" s="1"/>
  <c r="O458" i="1"/>
  <c r="Q458" i="1" s="1"/>
  <c r="O459" i="1"/>
  <c r="Q459" i="1" s="1"/>
  <c r="O460" i="1"/>
  <c r="Q460" i="1" s="1"/>
  <c r="O461" i="1"/>
  <c r="Q461" i="1" s="1"/>
  <c r="O462" i="1"/>
  <c r="Q462" i="1" s="1"/>
  <c r="O463" i="1"/>
  <c r="Q463" i="1" s="1"/>
  <c r="O464" i="1"/>
  <c r="Q464" i="1" s="1"/>
  <c r="O465" i="1"/>
  <c r="Q465" i="1" s="1"/>
  <c r="O466" i="1"/>
  <c r="Q466" i="1" s="1"/>
  <c r="O467" i="1"/>
  <c r="Q467" i="1" s="1"/>
  <c r="O468" i="1"/>
  <c r="Q468" i="1" s="1"/>
  <c r="O469" i="1"/>
  <c r="Q469" i="1" s="1"/>
  <c r="O470" i="1"/>
  <c r="Q470" i="1" s="1"/>
  <c r="O471" i="1"/>
  <c r="Q471" i="1" s="1"/>
  <c r="O472" i="1"/>
  <c r="Q472" i="1" s="1"/>
  <c r="O473" i="1"/>
  <c r="Q473" i="1" s="1"/>
  <c r="O474" i="1"/>
  <c r="Q474" i="1" s="1"/>
  <c r="O475" i="1"/>
  <c r="Q475" i="1" s="1"/>
  <c r="O476" i="1"/>
  <c r="Q476" i="1" s="1"/>
  <c r="O477" i="1"/>
  <c r="Q477" i="1" s="1"/>
  <c r="O478" i="1"/>
  <c r="Q478" i="1" s="1"/>
  <c r="O479" i="1"/>
  <c r="Q479" i="1" s="1"/>
  <c r="O480" i="1"/>
  <c r="Q480" i="1" s="1"/>
  <c r="O481" i="1"/>
  <c r="Q481" i="1" s="1"/>
  <c r="O482" i="1"/>
  <c r="Q482" i="1" s="1"/>
  <c r="O483" i="1"/>
  <c r="Q483" i="1" s="1"/>
  <c r="O484" i="1"/>
  <c r="Q484" i="1" s="1"/>
  <c r="O485" i="1"/>
  <c r="Q485" i="1" s="1"/>
  <c r="O486" i="1"/>
  <c r="Q486" i="1" s="1"/>
  <c r="O487" i="1"/>
  <c r="Q487" i="1" s="1"/>
  <c r="O488" i="1"/>
  <c r="Q488" i="1" s="1"/>
  <c r="O489" i="1"/>
  <c r="Q489" i="1" s="1"/>
  <c r="O490" i="1"/>
  <c r="Q490" i="1" s="1"/>
  <c r="O491" i="1"/>
  <c r="Q491" i="1" s="1"/>
  <c r="O492" i="1"/>
  <c r="Q492" i="1" s="1"/>
  <c r="O493" i="1"/>
  <c r="Q493" i="1" s="1"/>
  <c r="O494" i="1"/>
  <c r="Q494" i="1" s="1"/>
  <c r="O495" i="1"/>
  <c r="Q495" i="1" s="1"/>
  <c r="O496" i="1"/>
  <c r="Q496" i="1" s="1"/>
  <c r="O497" i="1"/>
  <c r="Q497" i="1" s="1"/>
  <c r="O498" i="1"/>
  <c r="Q498" i="1" s="1"/>
  <c r="O499" i="1"/>
  <c r="Q499" i="1" s="1"/>
  <c r="O500" i="1"/>
  <c r="Q500" i="1" s="1"/>
  <c r="O501" i="1"/>
  <c r="Q501" i="1" s="1"/>
  <c r="O502" i="1"/>
  <c r="Q502" i="1" s="1"/>
  <c r="O503" i="1"/>
  <c r="Q503" i="1" s="1"/>
  <c r="O504" i="1"/>
  <c r="Q504" i="1" s="1"/>
  <c r="O505" i="1"/>
  <c r="Q505" i="1" s="1"/>
  <c r="O506" i="1"/>
  <c r="Q506" i="1" s="1"/>
  <c r="O507" i="1"/>
  <c r="Q507" i="1" s="1"/>
  <c r="O508" i="1"/>
  <c r="Q508" i="1" s="1"/>
  <c r="O509" i="1"/>
  <c r="Q509" i="1" s="1"/>
  <c r="O510" i="1"/>
  <c r="Q510" i="1" s="1"/>
  <c r="O511" i="1"/>
  <c r="Q511" i="1" s="1"/>
  <c r="O512" i="1"/>
  <c r="Q512" i="1" s="1"/>
  <c r="O513" i="1"/>
  <c r="Q513" i="1" s="1"/>
  <c r="O514" i="1"/>
  <c r="Q514" i="1" s="1"/>
  <c r="O515" i="1"/>
  <c r="Q515" i="1" s="1"/>
  <c r="O516" i="1"/>
  <c r="Q516" i="1" s="1"/>
  <c r="O517" i="1"/>
  <c r="Q517" i="1" s="1"/>
  <c r="O518" i="1"/>
  <c r="Q518" i="1" s="1"/>
  <c r="O519" i="1"/>
  <c r="Q519" i="1" s="1"/>
  <c r="O520" i="1"/>
  <c r="Q520" i="1" s="1"/>
  <c r="O521" i="1"/>
  <c r="Q521" i="1" s="1"/>
  <c r="O522" i="1"/>
  <c r="Q522" i="1" s="1"/>
  <c r="O523" i="1"/>
  <c r="Q523" i="1" s="1"/>
  <c r="O524" i="1"/>
  <c r="Q524" i="1" s="1"/>
  <c r="O525" i="1"/>
  <c r="Q525" i="1" s="1"/>
  <c r="O526" i="1"/>
  <c r="Q526" i="1" s="1"/>
  <c r="O527" i="1"/>
  <c r="Q527" i="1" s="1"/>
  <c r="O528" i="1"/>
  <c r="Q528" i="1" s="1"/>
  <c r="O529" i="1"/>
  <c r="Q529" i="1" s="1"/>
  <c r="O530" i="1"/>
  <c r="Q530" i="1" s="1"/>
  <c r="O531" i="1"/>
  <c r="Q531" i="1" s="1"/>
  <c r="O532" i="1"/>
  <c r="Q532" i="1" s="1"/>
  <c r="O533" i="1"/>
  <c r="Q533" i="1" s="1"/>
  <c r="O534" i="1"/>
  <c r="Q534" i="1" s="1"/>
  <c r="O535" i="1"/>
  <c r="Q535" i="1" s="1"/>
  <c r="O536" i="1"/>
  <c r="Q536" i="1" s="1"/>
  <c r="O537" i="1"/>
  <c r="Q537" i="1" s="1"/>
  <c r="O538" i="1"/>
  <c r="Q538" i="1" s="1"/>
  <c r="O539" i="1"/>
  <c r="Q539" i="1" s="1"/>
  <c r="O540" i="1"/>
  <c r="Q540" i="1" s="1"/>
  <c r="O541" i="1"/>
  <c r="Q541" i="1" s="1"/>
  <c r="O542" i="1"/>
  <c r="Q542" i="1" s="1"/>
  <c r="O543" i="1"/>
  <c r="Q543" i="1" s="1"/>
  <c r="O544" i="1"/>
  <c r="Q544" i="1" s="1"/>
  <c r="O545" i="1"/>
  <c r="Q545" i="1" s="1"/>
  <c r="O546" i="1"/>
  <c r="Q546" i="1" s="1"/>
  <c r="O547" i="1"/>
  <c r="Q547" i="1" s="1"/>
  <c r="O548" i="1"/>
  <c r="Q548" i="1" s="1"/>
  <c r="O549" i="1"/>
  <c r="Q549" i="1" s="1"/>
  <c r="O550" i="1"/>
  <c r="Q550" i="1" s="1"/>
  <c r="O551" i="1"/>
  <c r="Q551" i="1" s="1"/>
  <c r="O552" i="1"/>
  <c r="Q552" i="1" s="1"/>
  <c r="O553" i="1"/>
  <c r="Q553" i="1" s="1"/>
  <c r="O554" i="1"/>
  <c r="Q554" i="1" s="1"/>
  <c r="O555" i="1"/>
  <c r="Q555" i="1" s="1"/>
  <c r="O556" i="1"/>
  <c r="Q556" i="1" s="1"/>
  <c r="O557" i="1"/>
  <c r="Q557" i="1" s="1"/>
  <c r="O558" i="1"/>
  <c r="Q558" i="1" s="1"/>
  <c r="O559" i="1"/>
  <c r="Q559" i="1" s="1"/>
  <c r="O560" i="1"/>
  <c r="Q560" i="1" s="1"/>
  <c r="O561" i="1"/>
  <c r="Q561" i="1" s="1"/>
  <c r="O562" i="1"/>
  <c r="Q562" i="1" s="1"/>
  <c r="O563" i="1"/>
  <c r="Q563" i="1" s="1"/>
  <c r="O564" i="1"/>
  <c r="Q564" i="1" s="1"/>
  <c r="O565" i="1"/>
  <c r="Q565" i="1" s="1"/>
  <c r="O566" i="1"/>
  <c r="Q566" i="1" s="1"/>
  <c r="O567" i="1"/>
  <c r="Q567" i="1" s="1"/>
  <c r="O568" i="1"/>
  <c r="Q568" i="1" s="1"/>
  <c r="O569" i="1"/>
  <c r="Q569" i="1" s="1"/>
  <c r="O570" i="1"/>
  <c r="Q570" i="1" s="1"/>
  <c r="O571" i="1"/>
  <c r="Q571" i="1" s="1"/>
  <c r="O572" i="1"/>
  <c r="Q572" i="1" s="1"/>
  <c r="O573" i="1"/>
  <c r="Q573" i="1" s="1"/>
  <c r="O574" i="1"/>
  <c r="Q574" i="1" s="1"/>
  <c r="O575" i="1"/>
  <c r="Q575" i="1" s="1"/>
  <c r="O576" i="1"/>
  <c r="Q576" i="1" s="1"/>
  <c r="O577" i="1"/>
  <c r="Q577" i="1" s="1"/>
  <c r="O578" i="1"/>
  <c r="Q578" i="1" s="1"/>
  <c r="O579" i="1"/>
  <c r="Q579" i="1" s="1"/>
  <c r="O580" i="1"/>
  <c r="Q580" i="1" s="1"/>
  <c r="O581" i="1"/>
  <c r="Q581" i="1" s="1"/>
  <c r="O582" i="1"/>
  <c r="Q582" i="1" s="1"/>
  <c r="O583" i="1"/>
  <c r="Q583" i="1" s="1"/>
  <c r="O584" i="1"/>
  <c r="Q584" i="1" s="1"/>
  <c r="O585" i="1"/>
  <c r="Q585" i="1" s="1"/>
  <c r="O586" i="1"/>
  <c r="Q586" i="1" s="1"/>
  <c r="O587" i="1"/>
  <c r="Q587" i="1" s="1"/>
  <c r="O588" i="1"/>
  <c r="Q588" i="1" s="1"/>
  <c r="O589" i="1"/>
  <c r="Q589" i="1" s="1"/>
  <c r="O590" i="1"/>
  <c r="Q590" i="1" s="1"/>
  <c r="O591" i="1"/>
  <c r="Q591" i="1" s="1"/>
  <c r="O592" i="1"/>
  <c r="Q592" i="1" s="1"/>
  <c r="O593" i="1"/>
  <c r="Q593" i="1" s="1"/>
  <c r="O594" i="1"/>
  <c r="Q594" i="1" s="1"/>
  <c r="O595" i="1"/>
  <c r="Q595" i="1" s="1"/>
  <c r="O596" i="1"/>
  <c r="Q596" i="1" s="1"/>
  <c r="O597" i="1"/>
  <c r="Q597" i="1" s="1"/>
  <c r="O598" i="1"/>
  <c r="Q598" i="1" s="1"/>
  <c r="O599" i="1"/>
  <c r="Q599" i="1" s="1"/>
  <c r="O600" i="1"/>
  <c r="Q600" i="1" s="1"/>
  <c r="O601" i="1"/>
  <c r="Q601" i="1" s="1"/>
  <c r="O602" i="1"/>
  <c r="Q602" i="1" s="1"/>
  <c r="O603" i="1"/>
  <c r="Q603" i="1" s="1"/>
  <c r="O604" i="1"/>
  <c r="Q604" i="1" s="1"/>
  <c r="O605" i="1"/>
  <c r="Q605" i="1" s="1"/>
  <c r="O606" i="1"/>
  <c r="Q606" i="1" s="1"/>
  <c r="O607" i="1"/>
  <c r="Q607" i="1" s="1"/>
  <c r="O608" i="1"/>
  <c r="Q608" i="1" s="1"/>
  <c r="O609" i="1"/>
  <c r="Q609" i="1" s="1"/>
  <c r="O610" i="1"/>
  <c r="Q610" i="1" s="1"/>
  <c r="O611" i="1"/>
  <c r="Q611" i="1" s="1"/>
  <c r="O612" i="1"/>
  <c r="Q612" i="1" s="1"/>
  <c r="O613" i="1"/>
  <c r="Q613" i="1" s="1"/>
  <c r="O614" i="1"/>
  <c r="Q614" i="1" s="1"/>
  <c r="O615" i="1"/>
  <c r="Q615" i="1" s="1"/>
  <c r="O616" i="1"/>
  <c r="Q616" i="1" s="1"/>
  <c r="O617" i="1"/>
  <c r="Q617" i="1" s="1"/>
  <c r="O618" i="1"/>
  <c r="Q618" i="1" s="1"/>
  <c r="O619" i="1"/>
  <c r="Q619" i="1" s="1"/>
  <c r="O620" i="1"/>
  <c r="Q620" i="1" s="1"/>
  <c r="O621" i="1"/>
  <c r="Q621" i="1" s="1"/>
  <c r="O622" i="1"/>
  <c r="Q622" i="1" s="1"/>
  <c r="O623" i="1"/>
  <c r="Q623" i="1" s="1"/>
  <c r="O624" i="1"/>
  <c r="Q624" i="1" s="1"/>
  <c r="O625" i="1"/>
  <c r="Q625" i="1" s="1"/>
  <c r="O626" i="1"/>
  <c r="Q626" i="1" s="1"/>
  <c r="O627" i="1"/>
  <c r="Q627" i="1" s="1"/>
  <c r="O628" i="1"/>
  <c r="Q628" i="1" s="1"/>
  <c r="O629" i="1"/>
  <c r="Q629" i="1" s="1"/>
  <c r="O630" i="1"/>
  <c r="Q630" i="1" s="1"/>
  <c r="O631" i="1"/>
  <c r="Q631" i="1" s="1"/>
  <c r="O632" i="1"/>
  <c r="Q632" i="1" s="1"/>
  <c r="O633" i="1"/>
  <c r="Q633" i="1" s="1"/>
  <c r="O634" i="1"/>
  <c r="Q634" i="1" s="1"/>
  <c r="O635" i="1"/>
  <c r="Q635" i="1" s="1"/>
  <c r="O636" i="1"/>
  <c r="Q636" i="1" s="1"/>
  <c r="O637" i="1"/>
  <c r="Q637" i="1" s="1"/>
  <c r="O638" i="1"/>
  <c r="Q638" i="1" s="1"/>
  <c r="O639" i="1"/>
  <c r="Q639" i="1" s="1"/>
  <c r="O640" i="1"/>
  <c r="Q640" i="1" s="1"/>
  <c r="O641" i="1"/>
  <c r="Q641" i="1" s="1"/>
  <c r="O642" i="1"/>
  <c r="Q642" i="1" s="1"/>
  <c r="O643" i="1"/>
  <c r="Q643" i="1" s="1"/>
  <c r="O644" i="1"/>
  <c r="Q644" i="1" s="1"/>
  <c r="O645" i="1"/>
  <c r="Q645" i="1" s="1"/>
  <c r="O646" i="1"/>
  <c r="Q646" i="1" s="1"/>
  <c r="O647" i="1"/>
  <c r="Q647" i="1" s="1"/>
  <c r="O648" i="1"/>
  <c r="Q648" i="1" s="1"/>
  <c r="O649" i="1"/>
  <c r="Q649" i="1" s="1"/>
  <c r="O650" i="1"/>
  <c r="Q650" i="1" s="1"/>
  <c r="O651" i="1"/>
  <c r="Q651" i="1" s="1"/>
  <c r="O652" i="1"/>
  <c r="Q652" i="1" s="1"/>
  <c r="O653" i="1"/>
  <c r="Q653" i="1" s="1"/>
  <c r="O654" i="1"/>
  <c r="Q654" i="1" s="1"/>
  <c r="O655" i="1"/>
  <c r="Q655" i="1" s="1"/>
  <c r="O656" i="1"/>
  <c r="Q656" i="1" s="1"/>
  <c r="O657" i="1"/>
  <c r="Q657" i="1" s="1"/>
  <c r="O658" i="1"/>
  <c r="Q658" i="1" s="1"/>
  <c r="O659" i="1"/>
  <c r="Q659" i="1" s="1"/>
  <c r="O660" i="1"/>
  <c r="Q660" i="1" s="1"/>
  <c r="O661" i="1"/>
  <c r="Q661" i="1" s="1"/>
  <c r="O662" i="1"/>
  <c r="Q662" i="1" s="1"/>
  <c r="O663" i="1"/>
  <c r="Q663" i="1" s="1"/>
  <c r="O664" i="1"/>
  <c r="Q664" i="1" s="1"/>
  <c r="O665" i="1"/>
  <c r="Q665" i="1" s="1"/>
  <c r="O666" i="1"/>
  <c r="Q666" i="1" s="1"/>
  <c r="O667" i="1"/>
  <c r="Q667" i="1" s="1"/>
  <c r="O668" i="1"/>
  <c r="Q668" i="1" s="1"/>
  <c r="O669" i="1"/>
  <c r="Q669" i="1" s="1"/>
  <c r="O670" i="1"/>
  <c r="Q670" i="1" s="1"/>
  <c r="O671" i="1"/>
  <c r="Q671" i="1" s="1"/>
  <c r="O672" i="1"/>
  <c r="Q672" i="1" s="1"/>
  <c r="O673" i="1"/>
  <c r="Q673" i="1" s="1"/>
  <c r="O674" i="1"/>
  <c r="Q674" i="1" s="1"/>
  <c r="O675" i="1"/>
  <c r="Q675" i="1" s="1"/>
  <c r="O676" i="1"/>
  <c r="Q676" i="1" s="1"/>
  <c r="O677" i="1"/>
  <c r="Q677" i="1" s="1"/>
  <c r="O678" i="1"/>
  <c r="Q678" i="1" s="1"/>
  <c r="O679" i="1"/>
  <c r="Q679" i="1" s="1"/>
  <c r="O680" i="1"/>
  <c r="Q680" i="1" s="1"/>
  <c r="O681" i="1"/>
  <c r="Q681" i="1" s="1"/>
  <c r="O682" i="1"/>
  <c r="Q682" i="1" s="1"/>
  <c r="O683" i="1"/>
  <c r="Q683" i="1" s="1"/>
  <c r="O684" i="1"/>
  <c r="Q684" i="1" s="1"/>
  <c r="O685" i="1"/>
  <c r="Q685" i="1" s="1"/>
  <c r="O686" i="1"/>
  <c r="Q686" i="1" s="1"/>
  <c r="O687" i="1"/>
  <c r="Q687" i="1" s="1"/>
  <c r="O688" i="1"/>
  <c r="Q688" i="1" s="1"/>
  <c r="O689" i="1"/>
  <c r="Q689" i="1" s="1"/>
  <c r="O690" i="1"/>
  <c r="Q690" i="1" s="1"/>
  <c r="O691" i="1"/>
  <c r="Q691" i="1" s="1"/>
  <c r="O692" i="1"/>
  <c r="Q692" i="1" s="1"/>
  <c r="O693" i="1"/>
  <c r="Q693" i="1" s="1"/>
  <c r="O694" i="1"/>
  <c r="Q694" i="1" s="1"/>
  <c r="O695" i="1"/>
  <c r="Q695" i="1" s="1"/>
  <c r="O696" i="1"/>
  <c r="Q696" i="1" s="1"/>
  <c r="O697" i="1"/>
  <c r="Q697" i="1" s="1"/>
  <c r="O698" i="1"/>
  <c r="Q698" i="1" s="1"/>
  <c r="O699" i="1"/>
  <c r="Q699" i="1" s="1"/>
  <c r="O700" i="1"/>
  <c r="Q700" i="1" s="1"/>
  <c r="O701" i="1"/>
  <c r="Q701" i="1" s="1"/>
  <c r="O702" i="1"/>
  <c r="Q702" i="1" s="1"/>
  <c r="O703" i="1"/>
  <c r="Q703" i="1" s="1"/>
  <c r="O704" i="1"/>
  <c r="Q704" i="1" s="1"/>
  <c r="O705" i="1"/>
  <c r="Q705" i="1" s="1"/>
  <c r="O706" i="1"/>
  <c r="Q706" i="1" s="1"/>
  <c r="O707" i="1"/>
  <c r="Q707" i="1" s="1"/>
  <c r="O708" i="1"/>
  <c r="Q708" i="1" s="1"/>
  <c r="O709" i="1"/>
  <c r="Q709" i="1" s="1"/>
  <c r="O710" i="1"/>
  <c r="Q710" i="1" s="1"/>
  <c r="O711" i="1"/>
  <c r="Q711" i="1" s="1"/>
  <c r="O712" i="1"/>
  <c r="Q712" i="1" s="1"/>
  <c r="O713" i="1"/>
  <c r="Q713" i="1" s="1"/>
  <c r="O714" i="1"/>
  <c r="Q714" i="1" s="1"/>
  <c r="O715" i="1"/>
  <c r="Q715" i="1" s="1"/>
  <c r="O716" i="1"/>
  <c r="Q716" i="1" s="1"/>
  <c r="O717" i="1"/>
  <c r="Q717" i="1" s="1"/>
  <c r="O718" i="1"/>
  <c r="Q718" i="1" s="1"/>
  <c r="O719" i="1"/>
  <c r="Q719" i="1" s="1"/>
  <c r="O720" i="1"/>
  <c r="Q720" i="1" s="1"/>
  <c r="O721" i="1"/>
  <c r="Q721" i="1" s="1"/>
  <c r="O722" i="1"/>
  <c r="Q722" i="1" s="1"/>
  <c r="O723" i="1"/>
  <c r="Q723" i="1" s="1"/>
  <c r="O724" i="1"/>
  <c r="Q724" i="1" s="1"/>
  <c r="O725" i="1"/>
  <c r="Q725" i="1" s="1"/>
  <c r="O726" i="1"/>
  <c r="Q726" i="1" s="1"/>
  <c r="O727" i="1"/>
  <c r="Q727" i="1" s="1"/>
  <c r="O728" i="1"/>
  <c r="Q728" i="1" s="1"/>
  <c r="O729" i="1"/>
  <c r="Q729" i="1" s="1"/>
  <c r="O730" i="1"/>
  <c r="Q730" i="1" s="1"/>
  <c r="O731" i="1"/>
  <c r="Q731" i="1" s="1"/>
  <c r="O732" i="1"/>
  <c r="Q732" i="1" s="1"/>
  <c r="O733" i="1"/>
  <c r="Q733" i="1" s="1"/>
  <c r="O734" i="1"/>
  <c r="Q734" i="1" s="1"/>
  <c r="O735" i="1"/>
  <c r="Q735" i="1" s="1"/>
  <c r="O736" i="1"/>
  <c r="Q736" i="1" s="1"/>
  <c r="O737" i="1"/>
  <c r="Q737" i="1" s="1"/>
  <c r="O738" i="1"/>
  <c r="Q738" i="1" s="1"/>
  <c r="O739" i="1"/>
  <c r="Q739" i="1" s="1"/>
  <c r="O740" i="1"/>
  <c r="Q740" i="1" s="1"/>
  <c r="O741" i="1"/>
  <c r="Q741" i="1" s="1"/>
  <c r="O742" i="1"/>
  <c r="Q742" i="1" s="1"/>
  <c r="O743" i="1"/>
  <c r="Q743" i="1" s="1"/>
  <c r="O744" i="1"/>
  <c r="Q744" i="1" s="1"/>
  <c r="O745" i="1"/>
  <c r="Q745" i="1" s="1"/>
  <c r="O746" i="1"/>
  <c r="Q746" i="1" s="1"/>
  <c r="O747" i="1"/>
  <c r="Q747" i="1" s="1"/>
  <c r="O748" i="1"/>
  <c r="Q748" i="1" s="1"/>
  <c r="O749" i="1"/>
  <c r="Q749" i="1" s="1"/>
  <c r="O750" i="1"/>
  <c r="Q750" i="1" s="1"/>
  <c r="O751" i="1"/>
  <c r="Q751" i="1" s="1"/>
  <c r="O752" i="1"/>
  <c r="Q752" i="1" s="1"/>
  <c r="O753" i="1"/>
  <c r="Q753" i="1" s="1"/>
  <c r="O754" i="1"/>
  <c r="Q754" i="1" s="1"/>
  <c r="O755" i="1"/>
  <c r="Q755" i="1" s="1"/>
  <c r="O756" i="1"/>
  <c r="Q756" i="1" s="1"/>
  <c r="O757" i="1"/>
  <c r="Q757" i="1" s="1"/>
  <c r="O758" i="1"/>
  <c r="Q758" i="1" s="1"/>
  <c r="O759" i="1"/>
  <c r="Q759" i="1" s="1"/>
  <c r="O760" i="1"/>
  <c r="Q760" i="1" s="1"/>
  <c r="O761" i="1"/>
  <c r="Q761" i="1" s="1"/>
  <c r="O762" i="1"/>
  <c r="Q762" i="1" s="1"/>
  <c r="O763" i="1"/>
  <c r="Q763" i="1" s="1"/>
  <c r="O764" i="1"/>
  <c r="Q764" i="1" s="1"/>
  <c r="O765" i="1"/>
  <c r="Q765" i="1" s="1"/>
  <c r="O766" i="1"/>
  <c r="Q766" i="1" s="1"/>
  <c r="O767" i="1"/>
  <c r="Q767" i="1" s="1"/>
  <c r="O768" i="1"/>
  <c r="Q768" i="1" s="1"/>
  <c r="O769" i="1"/>
  <c r="Q769" i="1" s="1"/>
  <c r="O770" i="1"/>
  <c r="Q770" i="1" s="1"/>
  <c r="O771" i="1"/>
  <c r="Q771" i="1" s="1"/>
  <c r="O772" i="1"/>
  <c r="Q772" i="1" s="1"/>
  <c r="O773" i="1"/>
  <c r="Q773" i="1" s="1"/>
  <c r="O774" i="1"/>
  <c r="Q774" i="1" s="1"/>
  <c r="O775" i="1"/>
  <c r="Q775" i="1" s="1"/>
  <c r="O776" i="1"/>
  <c r="Q776" i="1" s="1"/>
  <c r="O777" i="1"/>
  <c r="Q777" i="1" s="1"/>
  <c r="O778" i="1"/>
  <c r="Q778" i="1" s="1"/>
  <c r="O779" i="1"/>
  <c r="Q779" i="1" s="1"/>
  <c r="O780" i="1"/>
  <c r="Q780" i="1" s="1"/>
  <c r="O781" i="1"/>
  <c r="Q781" i="1" s="1"/>
  <c r="O782" i="1"/>
  <c r="Q782" i="1" s="1"/>
  <c r="O783" i="1"/>
  <c r="Q783" i="1" s="1"/>
  <c r="O784" i="1"/>
  <c r="Q784" i="1" s="1"/>
  <c r="O785" i="1"/>
  <c r="Q785" i="1" s="1"/>
  <c r="O786" i="1"/>
  <c r="Q786" i="1" s="1"/>
  <c r="O787" i="1"/>
  <c r="Q787" i="1" s="1"/>
  <c r="O788" i="1"/>
  <c r="Q788" i="1" s="1"/>
  <c r="O789" i="1"/>
  <c r="Q789" i="1" s="1"/>
  <c r="O790" i="1"/>
  <c r="Q790" i="1" s="1"/>
  <c r="O791" i="1"/>
  <c r="Q791" i="1" s="1"/>
  <c r="O792" i="1"/>
  <c r="Q792" i="1" s="1"/>
  <c r="O793" i="1"/>
  <c r="Q793" i="1" s="1"/>
  <c r="O794" i="1"/>
  <c r="Q794" i="1" s="1"/>
  <c r="O795" i="1"/>
  <c r="Q795" i="1" s="1"/>
  <c r="O796" i="1"/>
  <c r="Q796" i="1" s="1"/>
  <c r="O797" i="1"/>
  <c r="Q797" i="1" s="1"/>
  <c r="O798" i="1"/>
  <c r="Q798" i="1" s="1"/>
  <c r="O799" i="1"/>
  <c r="Q799" i="1" s="1"/>
  <c r="O800" i="1"/>
  <c r="Q800" i="1" s="1"/>
  <c r="O801" i="1"/>
  <c r="Q801" i="1" s="1"/>
  <c r="O802" i="1"/>
  <c r="Q802" i="1" s="1"/>
  <c r="O803" i="1"/>
  <c r="Q803" i="1" s="1"/>
  <c r="O804" i="1"/>
  <c r="Q804" i="1" s="1"/>
  <c r="O805" i="1"/>
  <c r="Q805" i="1" s="1"/>
  <c r="O806" i="1"/>
  <c r="Q806" i="1" s="1"/>
  <c r="O807" i="1"/>
  <c r="Q807" i="1" s="1"/>
  <c r="O808" i="1"/>
  <c r="Q808" i="1" s="1"/>
  <c r="O809" i="1"/>
  <c r="Q809" i="1" s="1"/>
  <c r="O810" i="1"/>
  <c r="Q810" i="1" s="1"/>
  <c r="O811" i="1"/>
  <c r="Q811" i="1" s="1"/>
  <c r="O812" i="1"/>
  <c r="Q812" i="1" s="1"/>
  <c r="O813" i="1"/>
  <c r="Q813" i="1" s="1"/>
  <c r="O814" i="1"/>
  <c r="Q814" i="1" s="1"/>
  <c r="O815" i="1"/>
  <c r="Q815" i="1" s="1"/>
  <c r="O816" i="1"/>
  <c r="Q816" i="1" s="1"/>
  <c r="O817" i="1"/>
  <c r="Q817" i="1" s="1"/>
  <c r="O818" i="1"/>
  <c r="Q818" i="1" s="1"/>
  <c r="O819" i="1"/>
  <c r="Q819" i="1" s="1"/>
  <c r="O820" i="1"/>
  <c r="Q820" i="1" s="1"/>
  <c r="O821" i="1"/>
  <c r="Q821" i="1" s="1"/>
  <c r="O822" i="1"/>
  <c r="Q822" i="1" s="1"/>
  <c r="O823" i="1"/>
  <c r="Q823" i="1" s="1"/>
  <c r="O824" i="1"/>
  <c r="Q824" i="1" s="1"/>
  <c r="O825" i="1"/>
  <c r="Q825" i="1" s="1"/>
  <c r="O826" i="1"/>
  <c r="Q826" i="1" s="1"/>
  <c r="O827" i="1"/>
  <c r="Q827" i="1" s="1"/>
  <c r="O828" i="1"/>
  <c r="Q828" i="1" s="1"/>
  <c r="O829" i="1"/>
  <c r="Q829" i="1" s="1"/>
  <c r="O830" i="1"/>
  <c r="Q830" i="1" s="1"/>
  <c r="O831" i="1"/>
  <c r="Q831" i="1" s="1"/>
  <c r="O832" i="1"/>
  <c r="Q832" i="1" s="1"/>
  <c r="O833" i="1"/>
  <c r="Q833" i="1" s="1"/>
  <c r="O834" i="1"/>
  <c r="Q834" i="1" s="1"/>
  <c r="O835" i="1"/>
  <c r="Q835" i="1" s="1"/>
  <c r="O836" i="1"/>
  <c r="Q836" i="1" s="1"/>
  <c r="O837" i="1"/>
  <c r="Q837" i="1" s="1"/>
  <c r="O838" i="1"/>
  <c r="Q838" i="1" s="1"/>
  <c r="O839" i="1"/>
  <c r="Q839" i="1" s="1"/>
  <c r="O840" i="1"/>
  <c r="Q840" i="1" s="1"/>
  <c r="O841" i="1"/>
  <c r="Q841" i="1" s="1"/>
  <c r="O842" i="1"/>
  <c r="Q842" i="1" s="1"/>
  <c r="O843" i="1"/>
  <c r="Q843" i="1" s="1"/>
  <c r="O844" i="1"/>
  <c r="Q844" i="1" s="1"/>
  <c r="O845" i="1"/>
  <c r="Q845" i="1" s="1"/>
  <c r="O846" i="1"/>
  <c r="Q846" i="1" s="1"/>
  <c r="O847" i="1"/>
  <c r="Q847" i="1" s="1"/>
  <c r="O848" i="1"/>
  <c r="Q848" i="1" s="1"/>
  <c r="O849" i="1"/>
  <c r="Q849" i="1" s="1"/>
  <c r="O850" i="1"/>
  <c r="Q850" i="1" s="1"/>
  <c r="O851" i="1"/>
  <c r="Q851" i="1" s="1"/>
  <c r="O852" i="1"/>
  <c r="Q852" i="1" s="1"/>
  <c r="O853" i="1"/>
  <c r="Q853" i="1" s="1"/>
  <c r="O854" i="1"/>
  <c r="Q854" i="1" s="1"/>
  <c r="O855" i="1"/>
  <c r="Q855" i="1" s="1"/>
  <c r="O856" i="1"/>
  <c r="Q856" i="1" s="1"/>
  <c r="O857" i="1"/>
  <c r="Q857" i="1" s="1"/>
  <c r="O858" i="1"/>
  <c r="Q858" i="1" s="1"/>
  <c r="O859" i="1"/>
  <c r="Q859" i="1" s="1"/>
  <c r="O860" i="1"/>
  <c r="Q860" i="1" s="1"/>
  <c r="O861" i="1"/>
  <c r="Q861" i="1" s="1"/>
  <c r="O862" i="1"/>
  <c r="Q862" i="1" s="1"/>
  <c r="O863" i="1"/>
  <c r="Q863" i="1" s="1"/>
  <c r="O864" i="1"/>
  <c r="Q864" i="1" s="1"/>
  <c r="O865" i="1"/>
  <c r="Q865" i="1" s="1"/>
  <c r="O866" i="1"/>
  <c r="Q866" i="1" s="1"/>
  <c r="O867" i="1"/>
  <c r="Q867" i="1" s="1"/>
  <c r="O868" i="1"/>
  <c r="Q868" i="1" s="1"/>
  <c r="O869" i="1"/>
  <c r="Q869" i="1" s="1"/>
  <c r="O870" i="1"/>
  <c r="Q870" i="1" s="1"/>
  <c r="O871" i="1"/>
  <c r="Q871" i="1" s="1"/>
  <c r="O872" i="1"/>
  <c r="Q872" i="1" s="1"/>
  <c r="O873" i="1"/>
  <c r="Q873" i="1" s="1"/>
  <c r="O874" i="1"/>
  <c r="Q874" i="1" s="1"/>
  <c r="O875" i="1"/>
  <c r="Q875" i="1" s="1"/>
  <c r="O876" i="1"/>
  <c r="Q876" i="1" s="1"/>
  <c r="O877" i="1"/>
  <c r="Q877" i="1" s="1"/>
  <c r="O878" i="1"/>
  <c r="Q878" i="1" s="1"/>
  <c r="O879" i="1"/>
  <c r="Q879" i="1" s="1"/>
  <c r="O880" i="1"/>
  <c r="Q880" i="1" s="1"/>
  <c r="O881" i="1"/>
  <c r="Q881" i="1" s="1"/>
  <c r="O882" i="1"/>
  <c r="Q882" i="1" s="1"/>
  <c r="O883" i="1"/>
  <c r="Q883" i="1" s="1"/>
  <c r="O884" i="1"/>
  <c r="Q884" i="1" s="1"/>
  <c r="O885" i="1"/>
  <c r="Q885" i="1" s="1"/>
  <c r="O886" i="1"/>
  <c r="Q886" i="1" s="1"/>
  <c r="O887" i="1"/>
  <c r="Q887" i="1" s="1"/>
  <c r="O888" i="1"/>
  <c r="Q888" i="1" s="1"/>
  <c r="O889" i="1"/>
  <c r="Q889" i="1" s="1"/>
  <c r="O890" i="1"/>
  <c r="Q890" i="1" s="1"/>
  <c r="O891" i="1"/>
  <c r="Q891" i="1" s="1"/>
  <c r="O892" i="1"/>
  <c r="Q892" i="1" s="1"/>
  <c r="O893" i="1"/>
  <c r="Q893" i="1" s="1"/>
  <c r="O894" i="1"/>
  <c r="Q894" i="1" s="1"/>
  <c r="O895" i="1"/>
  <c r="Q895" i="1" s="1"/>
  <c r="O896" i="1"/>
  <c r="Q896" i="1" s="1"/>
  <c r="O897" i="1"/>
  <c r="Q897" i="1" s="1"/>
  <c r="O898" i="1"/>
  <c r="Q898" i="1" s="1"/>
  <c r="O899" i="1"/>
  <c r="Q899" i="1" s="1"/>
  <c r="O900" i="1"/>
  <c r="Q900" i="1" s="1"/>
  <c r="O901" i="1"/>
  <c r="Q901" i="1" s="1"/>
  <c r="O902" i="1"/>
  <c r="Q902" i="1" s="1"/>
  <c r="O903" i="1"/>
  <c r="Q903" i="1" s="1"/>
  <c r="O904" i="1"/>
  <c r="Q904" i="1" s="1"/>
  <c r="O905" i="1"/>
  <c r="Q905" i="1" s="1"/>
  <c r="O906" i="1"/>
  <c r="Q906" i="1" s="1"/>
  <c r="O907" i="1"/>
  <c r="Q907" i="1" s="1"/>
  <c r="O908" i="1"/>
  <c r="Q908" i="1" s="1"/>
  <c r="O909" i="1"/>
  <c r="Q909" i="1" s="1"/>
  <c r="O910" i="1"/>
  <c r="Q910" i="1" s="1"/>
  <c r="O911" i="1"/>
  <c r="Q911" i="1" s="1"/>
  <c r="O912" i="1"/>
  <c r="Q912" i="1" s="1"/>
  <c r="O913" i="1"/>
  <c r="Q913" i="1" s="1"/>
  <c r="O914" i="1"/>
  <c r="Q914" i="1" s="1"/>
  <c r="O915" i="1"/>
  <c r="Q915" i="1" s="1"/>
  <c r="O916" i="1"/>
  <c r="Q916" i="1" s="1"/>
  <c r="O917" i="1"/>
  <c r="Q917" i="1" s="1"/>
  <c r="O918" i="1"/>
  <c r="Q918" i="1" s="1"/>
  <c r="O919" i="1"/>
  <c r="Q919" i="1" s="1"/>
  <c r="O920" i="1"/>
  <c r="Q920" i="1" s="1"/>
  <c r="O921" i="1"/>
  <c r="Q921" i="1" s="1"/>
  <c r="O922" i="1"/>
  <c r="Q922" i="1" s="1"/>
  <c r="O923" i="1"/>
  <c r="Q923" i="1" s="1"/>
  <c r="O924" i="1"/>
  <c r="Q924" i="1" s="1"/>
  <c r="O925" i="1"/>
  <c r="Q925" i="1" s="1"/>
  <c r="O926" i="1"/>
  <c r="Q926" i="1" s="1"/>
  <c r="O927" i="1"/>
  <c r="Q927" i="1" s="1"/>
  <c r="O928" i="1"/>
  <c r="Q928" i="1" s="1"/>
  <c r="O929" i="1"/>
  <c r="Q929" i="1" s="1"/>
  <c r="O930" i="1"/>
  <c r="Q930" i="1" s="1"/>
  <c r="O931" i="1"/>
  <c r="Q931" i="1" s="1"/>
  <c r="O932" i="1"/>
  <c r="Q932" i="1" s="1"/>
  <c r="O933" i="1"/>
  <c r="Q933" i="1" s="1"/>
  <c r="O934" i="1"/>
  <c r="Q934" i="1" s="1"/>
  <c r="O935" i="1"/>
  <c r="Q935" i="1" s="1"/>
  <c r="O936" i="1"/>
  <c r="Q936" i="1" s="1"/>
  <c r="O937" i="1"/>
  <c r="Q937" i="1" s="1"/>
  <c r="O938" i="1"/>
  <c r="Q938" i="1" s="1"/>
  <c r="O939" i="1"/>
  <c r="Q939" i="1" s="1"/>
  <c r="O940" i="1"/>
  <c r="Q940" i="1" s="1"/>
  <c r="O941" i="1"/>
  <c r="Q941" i="1" s="1"/>
  <c r="O942" i="1"/>
  <c r="Q942" i="1" s="1"/>
  <c r="O943" i="1"/>
  <c r="Q943" i="1" s="1"/>
  <c r="O944" i="1"/>
  <c r="Q944" i="1" s="1"/>
  <c r="O945" i="1"/>
  <c r="Q945" i="1" s="1"/>
  <c r="O946" i="1"/>
  <c r="Q946" i="1" s="1"/>
  <c r="O947" i="1"/>
  <c r="Q947" i="1" s="1"/>
  <c r="O948" i="1"/>
  <c r="Q948" i="1" s="1"/>
  <c r="O949" i="1"/>
  <c r="Q949" i="1" s="1"/>
  <c r="O950" i="1"/>
  <c r="Q950" i="1" s="1"/>
  <c r="O951" i="1"/>
  <c r="Q951" i="1" s="1"/>
  <c r="O952" i="1"/>
  <c r="Q952" i="1" s="1"/>
  <c r="O953" i="1"/>
  <c r="Q953" i="1" s="1"/>
  <c r="O954" i="1"/>
  <c r="Q954" i="1" s="1"/>
  <c r="O955" i="1"/>
  <c r="Q955" i="1" s="1"/>
  <c r="O956" i="1"/>
  <c r="Q956" i="1" s="1"/>
  <c r="O957" i="1"/>
  <c r="Q957" i="1" s="1"/>
  <c r="O958" i="1"/>
  <c r="Q958" i="1" s="1"/>
  <c r="O959" i="1"/>
  <c r="Q959" i="1" s="1"/>
  <c r="O960" i="1"/>
  <c r="Q960" i="1" s="1"/>
  <c r="O961" i="1"/>
  <c r="Q961" i="1" s="1"/>
  <c r="O962" i="1"/>
  <c r="Q962" i="1" s="1"/>
  <c r="O963" i="1"/>
  <c r="Q963" i="1" s="1"/>
  <c r="O964" i="1"/>
  <c r="Q964" i="1" s="1"/>
  <c r="O965" i="1"/>
  <c r="Q965" i="1" s="1"/>
  <c r="O966" i="1"/>
  <c r="Q966" i="1" s="1"/>
  <c r="O967" i="1"/>
  <c r="Q967" i="1" s="1"/>
  <c r="O968" i="1"/>
  <c r="Q968" i="1" s="1"/>
  <c r="O969" i="1"/>
  <c r="Q969" i="1" s="1"/>
  <c r="O970" i="1"/>
  <c r="Q970" i="1" s="1"/>
  <c r="O971" i="1"/>
  <c r="Q971" i="1" s="1"/>
  <c r="O972" i="1"/>
  <c r="Q972" i="1" s="1"/>
  <c r="O973" i="1"/>
  <c r="Q973" i="1" s="1"/>
  <c r="O974" i="1"/>
  <c r="Q974" i="1" s="1"/>
  <c r="O975" i="1"/>
  <c r="Q975" i="1" s="1"/>
  <c r="O976" i="1"/>
  <c r="Q976" i="1" s="1"/>
  <c r="O977" i="1"/>
  <c r="Q977" i="1" s="1"/>
  <c r="O978" i="1"/>
  <c r="Q978" i="1" s="1"/>
  <c r="O979" i="1"/>
  <c r="Q979" i="1" s="1"/>
  <c r="O980" i="1"/>
  <c r="Q980" i="1" s="1"/>
  <c r="O981" i="1"/>
  <c r="Q981" i="1" s="1"/>
  <c r="O982" i="1"/>
  <c r="Q982" i="1" s="1"/>
  <c r="O983" i="1"/>
  <c r="Q983" i="1" s="1"/>
  <c r="O984" i="1"/>
  <c r="Q984" i="1" s="1"/>
  <c r="O985" i="1"/>
  <c r="Q985" i="1" s="1"/>
  <c r="O986" i="1"/>
  <c r="Q986" i="1" s="1"/>
  <c r="O987" i="1"/>
  <c r="Q987" i="1" s="1"/>
  <c r="O988" i="1"/>
  <c r="Q988" i="1" s="1"/>
  <c r="O989" i="1"/>
  <c r="Q989" i="1" s="1"/>
  <c r="O990" i="1"/>
  <c r="Q990" i="1" s="1"/>
  <c r="O991" i="1"/>
  <c r="Q991" i="1" s="1"/>
  <c r="O992" i="1"/>
  <c r="Q992" i="1" s="1"/>
  <c r="O993" i="1"/>
  <c r="Q993" i="1" s="1"/>
  <c r="O994" i="1"/>
  <c r="Q994" i="1" s="1"/>
  <c r="O995" i="1"/>
  <c r="Q995" i="1" s="1"/>
  <c r="O996" i="1"/>
  <c r="Q996" i="1" s="1"/>
  <c r="O997" i="1"/>
  <c r="Q997" i="1" s="1"/>
  <c r="O998" i="1"/>
  <c r="Q998" i="1" s="1"/>
  <c r="O999" i="1"/>
  <c r="Q999" i="1" s="1"/>
  <c r="O1000" i="1"/>
  <c r="Q1000" i="1" s="1"/>
  <c r="O1001" i="1"/>
  <c r="Q1001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Q101" i="1" l="1"/>
  <c r="B10" i="2" a="1"/>
  <c r="B10" i="2" s="1"/>
  <c r="D10" i="2" s="1"/>
  <c r="Q90" i="1"/>
  <c r="B9" i="2" a="1"/>
  <c r="B9" i="2" s="1"/>
  <c r="D9" i="2" s="1"/>
  <c r="Q68" i="1"/>
  <c r="B8" i="2" a="1"/>
  <c r="B8" i="2" s="1"/>
  <c r="D8" i="2" s="1"/>
  <c r="Q56" i="1"/>
  <c r="B7" i="2" a="1"/>
  <c r="B7" i="2" s="1"/>
  <c r="D7" i="2" s="1"/>
  <c r="Q55" i="1"/>
  <c r="B6" i="2" a="1"/>
  <c r="B6" i="2" s="1"/>
  <c r="D6" i="2" s="1"/>
  <c r="Q31" i="1"/>
  <c r="B5" i="2" a="1"/>
  <c r="B5" i="2" s="1"/>
  <c r="D5" i="2" s="1"/>
  <c r="Q26" i="1"/>
  <c r="B4" i="2" a="1"/>
  <c r="B4" i="2" s="1"/>
  <c r="D4" i="2" s="1"/>
  <c r="Q16" i="1"/>
  <c r="B3" i="2" a="1"/>
  <c r="B3" i="2" s="1"/>
  <c r="D3" i="2" s="1"/>
  <c r="Q11" i="1"/>
  <c r="B2" i="2"/>
  <c r="S13" i="1"/>
  <c r="S12" i="1"/>
  <c r="S10" i="1"/>
  <c r="S11" i="1"/>
  <c r="P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<sst xmlns="http://schemas.openxmlformats.org/spreadsheetml/2006/main" count="3052" uniqueCount="1034">
  <si>
    <t>Sum of Total sales</t>
  </si>
  <si>
    <t>Gender</t>
  </si>
  <si>
    <t>Product Category</t>
  </si>
  <si>
    <t>Female</t>
  </si>
  <si>
    <t>Male</t>
  </si>
  <si>
    <t>Grand Total</t>
  </si>
  <si>
    <t>Beauty</t>
  </si>
  <si>
    <t>Clothing</t>
  </si>
  <si>
    <t>Electronics</t>
  </si>
  <si>
    <t>Generation</t>
  </si>
  <si>
    <t>Adult</t>
  </si>
  <si>
    <t>Young Adult</t>
  </si>
  <si>
    <t>Transaction ID</t>
  </si>
  <si>
    <t>Total Sales</t>
  </si>
  <si>
    <t>Product category</t>
  </si>
  <si>
    <t>Concatenate</t>
  </si>
  <si>
    <t>Day</t>
  </si>
  <si>
    <t>Month</t>
  </si>
  <si>
    <t>Year</t>
  </si>
  <si>
    <t xml:space="preserve">Day name </t>
  </si>
  <si>
    <t>Month name</t>
  </si>
  <si>
    <t>Date</t>
  </si>
  <si>
    <t>Customer ID</t>
  </si>
  <si>
    <t>Genaration</t>
  </si>
  <si>
    <t>Age</t>
  </si>
  <si>
    <t>Quantity</t>
  </si>
  <si>
    <t>Price per Unit</t>
  </si>
  <si>
    <t>Total sales</t>
  </si>
  <si>
    <t>Commission 2023</t>
  </si>
  <si>
    <t>Commission 2024</t>
  </si>
  <si>
    <t>CUST001</t>
  </si>
  <si>
    <t>Rate</t>
  </si>
  <si>
    <t>CUST002</t>
  </si>
  <si>
    <t>CUST003</t>
  </si>
  <si>
    <t>CUST004</t>
  </si>
  <si>
    <t>CUST005</t>
  </si>
  <si>
    <t>CUST006</t>
  </si>
  <si>
    <t>CUST007</t>
  </si>
  <si>
    <t>CUST008</t>
  </si>
  <si>
    <t>Overrall sales</t>
  </si>
  <si>
    <t>CUST009</t>
  </si>
  <si>
    <t xml:space="preserve">All products total sales </t>
  </si>
  <si>
    <t xml:space="preserve">Female 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</si>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</sst>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.00_-;\-[$£-809]* #,##0.00_-;_-[$£-809]* &quot;-&quot;??_-;_-@_-"/>
    <numFmt numFmtId="165" formatCode="dd/mm/yyyy"/>
  </numFmts>
  <fonts count="2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rgb="FF000000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164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0" borderId="0" xfId="0" pivotButton="1"/>
    <xf numFmtId="0" fontId="19" fillId="0" borderId="0" xfId="0" applyFont="1"/>
    <xf numFmtId="0" fontId="0" fillId="0" borderId="20" xfId="0" applyBorder="1"/>
    <xf numFmtId="14" fontId="0" fillId="0" borderId="0" xfId="0" applyNumberFormat="1"/>
    <xf numFmtId="0" fontId="0" fillId="0" borderId="21" xfId="0" applyBorder="1"/>
    <xf numFmtId="0" fontId="18" fillId="33" borderId="16" xfId="0" applyFont="1" applyFill="1" applyBorder="1"/>
    <xf numFmtId="0" fontId="18" fillId="33" borderId="17" xfId="0" applyFont="1" applyFill="1" applyBorder="1"/>
    <xf numFmtId="0" fontId="18" fillId="33" borderId="18" xfId="0" applyFont="1" applyFill="1" applyBorder="1"/>
    <xf numFmtId="0" fontId="18" fillId="33" borderId="19" xfId="0" applyFont="1" applyFill="1" applyBorder="1"/>
    <xf numFmtId="0" fontId="16" fillId="33" borderId="18" xfId="0" applyFont="1" applyFill="1" applyBorder="1"/>
    <xf numFmtId="164" fontId="16" fillId="33" borderId="18" xfId="0" applyNumberFormat="1" applyFont="1" applyFill="1" applyBorder="1"/>
    <xf numFmtId="0" fontId="0" fillId="33" borderId="18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9C0006"/>
      </font>
      <fill>
        <patternFill>
          <bgColor rgb="FFFFC7CE"/>
        </patternFill>
      </fill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[retail_sales-dataset lab 1.xlsx]Pivot table Gender and Category!PivotTable1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Gender and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Gender and Category'!$B$4:$B$5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Gender and Category'!$A$6:$A$9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 Gender and Category'!$B$6:$B$9</c:f>
              <c:numCache>
                <c:formatCode>0.00%</c:formatCode>
                <c:ptCount val="3"/>
                <c:pt idx="0">
                  <c:v>0.16410087719298247</c:v>
                </c:pt>
                <c:pt idx="1">
                  <c:v>0.17823464912280701</c:v>
                </c:pt>
                <c:pt idx="2">
                  <c:v>0.16827850877192982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B7-446F-97E0-1D9B04727EDF}"/>
            </c:ext>
          </c:extLst>
        </c:ser>
        <c:ser>
          <c:idx val="1"/>
          <c:order val="1"/>
          <c:tx>
            <c:strRef>
              <c:f>'Pivot table Gender and Category'!$C$4:$C$5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Gender and Category'!$A$6:$A$9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 Gender and Category'!$C$6:$C$9</c:f>
              <c:numCache>
                <c:formatCode>0.00%</c:formatCode>
                <c:ptCount val="3"/>
                <c:pt idx="0">
                  <c:v>0.15062500000000001</c:v>
                </c:pt>
                <c:pt idx="1">
                  <c:v>0.16294956140350877</c:v>
                </c:pt>
                <c:pt idx="2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8A-419A-8090-9A7DF0A77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7795207"/>
        <c:axId val="1027454471"/>
      </c:barChart>
      <c:catAx>
        <c:axId val="1007795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454471"/>
        <c:crosses val="autoZero"/>
        <c:auto val="1"/>
        <c:lblAlgn val="ctr"/>
        <c:lblOffset val="100"/>
        <c:noMultiLvlLbl val="0"/>
      </c:catAx>
      <c:valAx>
        <c:axId val="1027454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795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[retail_sales-dataset lab 1.xlsx]Pivot table Genera and 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Generation and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Genera and category'!$B$3:$B$4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'Pivot table Genera and category'!$A$5:$A$8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 Genera and category'!$B$5:$B$8</c:f>
              <c:numCache>
                <c:formatCode>General</c:formatCode>
                <c:ptCount val="3"/>
                <c:pt idx="0">
                  <c:v>102115</c:v>
                </c:pt>
                <c:pt idx="1">
                  <c:v>109430</c:v>
                </c:pt>
                <c:pt idx="2">
                  <c:v>121300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6-440D-9C83-3BC94335ED50}"/>
            </c:ext>
          </c:extLst>
        </c:ser>
        <c:ser>
          <c:idx val="1"/>
          <c:order val="1"/>
          <c:tx>
            <c:strRef>
              <c:f>'Pivot table Genera and category'!$C$3:$C$4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'Pivot table Genera and category'!$A$5:$A$8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 Genera and category'!$C$5:$C$8</c:f>
              <c:numCache>
                <c:formatCode>General</c:formatCode>
                <c:ptCount val="3"/>
                <c:pt idx="0">
                  <c:v>41400</c:v>
                </c:pt>
                <c:pt idx="1">
                  <c:v>46150</c:v>
                </c:pt>
                <c:pt idx="2">
                  <c:v>35605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6-440D-9C83-3BC94335E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56872"/>
        <c:axId val="41958920"/>
      </c:barChart>
      <c:catAx>
        <c:axId val="41956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8920"/>
        <c:crosses val="autoZero"/>
        <c:auto val="1"/>
        <c:lblAlgn val="ctr"/>
        <c:lblOffset val="100"/>
        <c:noMultiLvlLbl val="0"/>
      </c:catAx>
      <c:valAx>
        <c:axId val="41958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6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4</xdr:row>
      <xdr:rowOff>19050</xdr:rowOff>
    </xdr:from>
    <xdr:to>
      <xdr:col>10</xdr:col>
      <xdr:colOff>209550</xdr:colOff>
      <xdr:row>19</xdr:row>
      <xdr:rowOff>9525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BFCD5560-3C64-BB6E-13F9-C1436DA12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638175</xdr:colOff>
      <xdr:row>3</xdr:row>
      <xdr:rowOff>38100</xdr:rowOff>
    </xdr:from>
    <xdr:to>
      <xdr:col>15</xdr:col>
      <xdr:colOff>47625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5E7692-63E9-F2EE-103B-F943781728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8.644995486109" createdVersion="8" refreshedVersion="8" minRefreshableVersion="3" recordCount="1000" xr:uid="{05E0DCDB-97DE-4712-99A6-E841A3A03C29}">
  <cacheSource type="worksheet">
    <worksheetSource ref="A1:Q1001" sheet="retail_sales_dataset"/>
  </cacheSource>
  <cacheFields count="17">
    <cacheField name="Transaction ID" numFmtId="0">
      <sharedItems containsSemiMixedTypes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y name " numFmtId="0">
      <sharedItems/>
    </cacheField>
    <cacheField name="Month name" numFmtId="0">
      <sharedItems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 count="1000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</sharedItems>
    </cacheField>
    <cacheField name="Gender" numFmtId="0">
      <sharedItems count="2">
        <s v="Male"/>
        <s v="Female"/>
      </sharedItems>
    </cacheField>
    <cacheField name="Genaration" numFmtId="0">
      <sharedItems count="2">
        <s v="Adult"/>
        <s v="Young Adult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sales" numFmtId="0">
      <sharedItems containsSemiMixedTypes="0" containsString="0" containsNumber="1" containsInteger="1" minValue="25" maxValue="2000"/>
    </cacheField>
    <cacheField name="Commission 2023" numFmtId="0">
      <sharedItems containsSemiMixedTypes="0" containsString="0" containsNumber="1" minValue="0.375" maxValue="30"/>
    </cacheField>
    <cacheField name="Commission 2024" numFmtId="0">
      <sharedItems containsSemiMixedTypes="0" containsString="0" containsNumber="1" minValue="0.5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24"/>
    <n v="11"/>
    <n v="2023"/>
    <s v="Friday"/>
    <s v="November"/>
    <d v="2023-11-24T00:00:00"/>
    <x v="0"/>
    <x v="0"/>
    <x v="0"/>
    <x v="0"/>
    <x v="0"/>
    <n v="3"/>
    <n v="50"/>
    <n v="150"/>
    <n v="2.25"/>
    <n v="3"/>
  </r>
  <r>
    <x v="1"/>
    <n v="27"/>
    <n v="2"/>
    <n v="2023"/>
    <s v="Monday"/>
    <s v="February"/>
    <d v="2023-02-27T00:00:00"/>
    <x v="1"/>
    <x v="1"/>
    <x v="1"/>
    <x v="1"/>
    <x v="1"/>
    <n v="2"/>
    <n v="500"/>
    <n v="1000"/>
    <n v="15"/>
    <n v="20"/>
  </r>
  <r>
    <x v="2"/>
    <n v="13"/>
    <n v="1"/>
    <n v="2023"/>
    <s v="Friday"/>
    <s v="January"/>
    <d v="2023-01-13T00:00:00"/>
    <x v="2"/>
    <x v="0"/>
    <x v="0"/>
    <x v="2"/>
    <x v="2"/>
    <n v="1"/>
    <n v="30"/>
    <n v="30"/>
    <n v="0.44999999999999996"/>
    <n v="0.6"/>
  </r>
  <r>
    <x v="3"/>
    <n v="21"/>
    <n v="5"/>
    <n v="2023"/>
    <s v="Sunday"/>
    <s v="May"/>
    <d v="2023-05-21T00:00:00"/>
    <x v="3"/>
    <x v="0"/>
    <x v="0"/>
    <x v="3"/>
    <x v="1"/>
    <n v="1"/>
    <n v="500"/>
    <n v="500"/>
    <n v="7.5"/>
    <n v="10"/>
  </r>
  <r>
    <x v="4"/>
    <n v="6"/>
    <n v="5"/>
    <n v="2023"/>
    <s v="Saturday"/>
    <s v="May"/>
    <d v="2023-05-06T00:00:00"/>
    <x v="4"/>
    <x v="0"/>
    <x v="0"/>
    <x v="4"/>
    <x v="0"/>
    <n v="2"/>
    <n v="50"/>
    <n v="100"/>
    <n v="1.5"/>
    <n v="2"/>
  </r>
  <r>
    <x v="5"/>
    <n v="25"/>
    <n v="4"/>
    <n v="2023"/>
    <s v="Tuesday"/>
    <s v="April"/>
    <d v="2023-04-25T00:00:00"/>
    <x v="5"/>
    <x v="1"/>
    <x v="0"/>
    <x v="5"/>
    <x v="0"/>
    <n v="1"/>
    <n v="30"/>
    <n v="30"/>
    <n v="0.44999999999999996"/>
    <n v="0.6"/>
  </r>
  <r>
    <x v="6"/>
    <n v="13"/>
    <n v="3"/>
    <n v="2023"/>
    <s v="Monday"/>
    <s v="March"/>
    <d v="2023-03-13T00:00:00"/>
    <x v="6"/>
    <x v="0"/>
    <x v="0"/>
    <x v="6"/>
    <x v="1"/>
    <n v="2"/>
    <n v="25"/>
    <n v="50"/>
    <n v="0.75"/>
    <n v="1"/>
  </r>
  <r>
    <x v="7"/>
    <n v="22"/>
    <n v="2"/>
    <n v="2023"/>
    <s v="Wednesday"/>
    <s v="February"/>
    <d v="2023-02-22T00:00:00"/>
    <x v="7"/>
    <x v="0"/>
    <x v="0"/>
    <x v="4"/>
    <x v="2"/>
    <n v="4"/>
    <n v="25"/>
    <n v="100"/>
    <n v="1.5"/>
    <n v="2"/>
  </r>
  <r>
    <x v="8"/>
    <n v="13"/>
    <n v="12"/>
    <n v="2023"/>
    <s v="Wednesday"/>
    <s v="December"/>
    <d v="2023-12-13T00:00:00"/>
    <x v="8"/>
    <x v="0"/>
    <x v="0"/>
    <x v="7"/>
    <x v="2"/>
    <n v="2"/>
    <n v="300"/>
    <n v="600"/>
    <n v="9"/>
    <n v="12"/>
  </r>
  <r>
    <x v="9"/>
    <n v="7"/>
    <n v="10"/>
    <n v="2023"/>
    <s v="Saturday"/>
    <s v="October"/>
    <d v="2023-10-07T00:00:00"/>
    <x v="9"/>
    <x v="1"/>
    <x v="0"/>
    <x v="8"/>
    <x v="1"/>
    <n v="4"/>
    <n v="50"/>
    <n v="200"/>
    <n v="3"/>
    <n v="4"/>
  </r>
  <r>
    <x v="10"/>
    <n v="14"/>
    <n v="2"/>
    <n v="2023"/>
    <s v="Tuesday"/>
    <s v="February"/>
    <d v="2023-02-14T00:00:00"/>
    <x v="10"/>
    <x v="0"/>
    <x v="1"/>
    <x v="9"/>
    <x v="1"/>
    <n v="2"/>
    <n v="50"/>
    <n v="100"/>
    <n v="1.5"/>
    <n v="2"/>
  </r>
  <r>
    <x v="11"/>
    <n v="30"/>
    <n v="10"/>
    <n v="2023"/>
    <s v="Monday"/>
    <s v="October"/>
    <d v="2023-10-30T00:00:00"/>
    <x v="11"/>
    <x v="0"/>
    <x v="0"/>
    <x v="10"/>
    <x v="0"/>
    <n v="3"/>
    <n v="25"/>
    <n v="75"/>
    <n v="1.125"/>
    <n v="1.5"/>
  </r>
  <r>
    <x v="12"/>
    <n v="5"/>
    <n v="8"/>
    <n v="2023"/>
    <s v="Saturday"/>
    <s v="August"/>
    <d v="2023-08-05T00:00:00"/>
    <x v="12"/>
    <x v="0"/>
    <x v="1"/>
    <x v="11"/>
    <x v="2"/>
    <n v="3"/>
    <n v="500"/>
    <n v="1500"/>
    <n v="22.5"/>
    <n v="30"/>
  </r>
  <r>
    <x v="13"/>
    <n v="17"/>
    <n v="1"/>
    <n v="2023"/>
    <s v="Tuesday"/>
    <s v="January"/>
    <d v="2023-01-17T00:00:00"/>
    <x v="13"/>
    <x v="0"/>
    <x v="0"/>
    <x v="12"/>
    <x v="1"/>
    <n v="4"/>
    <n v="30"/>
    <n v="120"/>
    <n v="1.7999999999999998"/>
    <n v="2.4"/>
  </r>
  <r>
    <x v="14"/>
    <n v="16"/>
    <n v="1"/>
    <n v="2023"/>
    <s v="Monday"/>
    <s v="January"/>
    <d v="2023-01-16T00:00:00"/>
    <x v="14"/>
    <x v="1"/>
    <x v="0"/>
    <x v="13"/>
    <x v="2"/>
    <n v="4"/>
    <n v="500"/>
    <n v="2000"/>
    <n v="30"/>
    <n v="40"/>
  </r>
  <r>
    <x v="15"/>
    <n v="17"/>
    <n v="2"/>
    <n v="2023"/>
    <s v="Friday"/>
    <s v="February"/>
    <d v="2023-02-17T00:00:00"/>
    <x v="15"/>
    <x v="0"/>
    <x v="1"/>
    <x v="14"/>
    <x v="1"/>
    <n v="3"/>
    <n v="500"/>
    <n v="1500"/>
    <n v="22.5"/>
    <n v="30"/>
  </r>
  <r>
    <x v="16"/>
    <n v="22"/>
    <n v="4"/>
    <n v="2023"/>
    <s v="Saturday"/>
    <s v="April"/>
    <d v="2023-04-22T00:00:00"/>
    <x v="16"/>
    <x v="1"/>
    <x v="1"/>
    <x v="15"/>
    <x v="1"/>
    <n v="4"/>
    <n v="25"/>
    <n v="100"/>
    <n v="1.5"/>
    <n v="2"/>
  </r>
  <r>
    <x v="17"/>
    <n v="30"/>
    <n v="4"/>
    <n v="2023"/>
    <s v="Sunday"/>
    <s v="April"/>
    <d v="2023-04-30T00:00:00"/>
    <x v="17"/>
    <x v="1"/>
    <x v="0"/>
    <x v="16"/>
    <x v="2"/>
    <n v="2"/>
    <n v="25"/>
    <n v="50"/>
    <n v="0.75"/>
    <n v="1"/>
  </r>
  <r>
    <x v="18"/>
    <n v="16"/>
    <n v="9"/>
    <n v="2023"/>
    <s v="Saturday"/>
    <s v="September"/>
    <d v="2023-09-16T00:00:00"/>
    <x v="18"/>
    <x v="1"/>
    <x v="0"/>
    <x v="17"/>
    <x v="1"/>
    <n v="2"/>
    <n v="25"/>
    <n v="50"/>
    <n v="0.75"/>
    <n v="1"/>
  </r>
  <r>
    <x v="19"/>
    <n v="5"/>
    <n v="11"/>
    <n v="2023"/>
    <s v="Sunday"/>
    <s v="November"/>
    <d v="2023-11-05T00:00:00"/>
    <x v="19"/>
    <x v="0"/>
    <x v="1"/>
    <x v="11"/>
    <x v="1"/>
    <n v="3"/>
    <n v="300"/>
    <n v="900"/>
    <n v="13.5"/>
    <n v="18"/>
  </r>
  <r>
    <x v="20"/>
    <n v="14"/>
    <n v="1"/>
    <n v="2023"/>
    <s v="Saturday"/>
    <s v="January"/>
    <d v="2023-01-14T00:00:00"/>
    <x v="20"/>
    <x v="1"/>
    <x v="0"/>
    <x v="2"/>
    <x v="0"/>
    <n v="1"/>
    <n v="500"/>
    <n v="500"/>
    <n v="7.5"/>
    <n v="10"/>
  </r>
  <r>
    <x v="21"/>
    <n v="15"/>
    <n v="10"/>
    <n v="2023"/>
    <s v="Sunday"/>
    <s v="October"/>
    <d v="2023-10-15T00:00:00"/>
    <x v="21"/>
    <x v="0"/>
    <x v="1"/>
    <x v="18"/>
    <x v="1"/>
    <n v="2"/>
    <n v="50"/>
    <n v="100"/>
    <n v="1.5"/>
    <n v="2"/>
  </r>
  <r>
    <x v="22"/>
    <n v="12"/>
    <n v="4"/>
    <n v="2023"/>
    <s v="Wednesday"/>
    <s v="April"/>
    <d v="2023-04-12T00:00:00"/>
    <x v="22"/>
    <x v="1"/>
    <x v="0"/>
    <x v="10"/>
    <x v="1"/>
    <n v="4"/>
    <n v="30"/>
    <n v="120"/>
    <n v="1.7999999999999998"/>
    <n v="2.4"/>
  </r>
  <r>
    <x v="23"/>
    <n v="29"/>
    <n v="11"/>
    <n v="2023"/>
    <s v="Wednesday"/>
    <s v="November"/>
    <d v="2023-11-29T00:00:00"/>
    <x v="23"/>
    <x v="1"/>
    <x v="0"/>
    <x v="19"/>
    <x v="1"/>
    <n v="1"/>
    <n v="300"/>
    <n v="300"/>
    <n v="4.5"/>
    <n v="6"/>
  </r>
  <r>
    <x v="24"/>
    <n v="26"/>
    <n v="12"/>
    <n v="2023"/>
    <s v="Tuesday"/>
    <s v="December"/>
    <d v="2023-12-26T00:00:00"/>
    <x v="24"/>
    <x v="1"/>
    <x v="0"/>
    <x v="12"/>
    <x v="0"/>
    <n v="1"/>
    <n v="50"/>
    <n v="50"/>
    <n v="0.75"/>
    <n v="1"/>
  </r>
  <r>
    <x v="25"/>
    <n v="7"/>
    <n v="10"/>
    <n v="2023"/>
    <s v="Saturday"/>
    <s v="October"/>
    <d v="2023-10-07T00:00:00"/>
    <x v="25"/>
    <x v="1"/>
    <x v="1"/>
    <x v="20"/>
    <x v="2"/>
    <n v="2"/>
    <n v="500"/>
    <n v="1000"/>
    <n v="15"/>
    <n v="20"/>
  </r>
  <r>
    <x v="26"/>
    <n v="3"/>
    <n v="8"/>
    <n v="2023"/>
    <s v="Thursday"/>
    <s v="August"/>
    <d v="2023-08-03T00:00:00"/>
    <x v="26"/>
    <x v="1"/>
    <x v="0"/>
    <x v="21"/>
    <x v="0"/>
    <n v="2"/>
    <n v="25"/>
    <n v="50"/>
    <n v="0.75"/>
    <n v="1"/>
  </r>
  <r>
    <x v="27"/>
    <n v="23"/>
    <n v="4"/>
    <n v="2023"/>
    <s v="Sunday"/>
    <s v="April"/>
    <d v="2023-04-23T00:00:00"/>
    <x v="27"/>
    <x v="1"/>
    <x v="0"/>
    <x v="22"/>
    <x v="0"/>
    <n v="1"/>
    <n v="500"/>
    <n v="500"/>
    <n v="7.5"/>
    <n v="10"/>
  </r>
  <r>
    <x v="28"/>
    <n v="18"/>
    <n v="8"/>
    <n v="2023"/>
    <s v="Friday"/>
    <s v="August"/>
    <d v="2023-08-18T00:00:00"/>
    <x v="28"/>
    <x v="1"/>
    <x v="0"/>
    <x v="13"/>
    <x v="2"/>
    <n v="1"/>
    <n v="30"/>
    <n v="30"/>
    <n v="0.44999999999999996"/>
    <n v="0.6"/>
  </r>
  <r>
    <x v="29"/>
    <n v="29"/>
    <n v="10"/>
    <n v="2023"/>
    <s v="Sunday"/>
    <s v="October"/>
    <d v="2023-10-29T00:00:00"/>
    <x v="29"/>
    <x v="1"/>
    <x v="0"/>
    <x v="23"/>
    <x v="0"/>
    <n v="3"/>
    <n v="300"/>
    <n v="900"/>
    <n v="13.5"/>
    <n v="18"/>
  </r>
  <r>
    <x v="30"/>
    <n v="23"/>
    <n v="5"/>
    <n v="2023"/>
    <s v="Tuesday"/>
    <s v="May"/>
    <d v="2023-05-23T00:00:00"/>
    <x v="30"/>
    <x v="0"/>
    <x v="0"/>
    <x v="24"/>
    <x v="2"/>
    <n v="4"/>
    <n v="300"/>
    <n v="1200"/>
    <n v="18"/>
    <n v="24"/>
  </r>
  <r>
    <x v="31"/>
    <n v="4"/>
    <n v="1"/>
    <n v="2023"/>
    <s v="Wednesday"/>
    <s v="January"/>
    <d v="2023-01-04T00:00:00"/>
    <x v="31"/>
    <x v="0"/>
    <x v="0"/>
    <x v="4"/>
    <x v="0"/>
    <n v="3"/>
    <n v="30"/>
    <n v="90"/>
    <n v="1.3499999999999999"/>
    <n v="1.8"/>
  </r>
  <r>
    <x v="32"/>
    <n v="23"/>
    <n v="3"/>
    <n v="2023"/>
    <s v="Thursday"/>
    <s v="March"/>
    <d v="2023-03-23T00:00:00"/>
    <x v="32"/>
    <x v="1"/>
    <x v="0"/>
    <x v="2"/>
    <x v="2"/>
    <n v="2"/>
    <n v="50"/>
    <n v="100"/>
    <n v="1.5"/>
    <n v="2"/>
  </r>
  <r>
    <x v="33"/>
    <n v="24"/>
    <n v="12"/>
    <n v="2023"/>
    <s v="Sunday"/>
    <s v="December"/>
    <d v="2023-12-24T00:00:00"/>
    <x v="33"/>
    <x v="1"/>
    <x v="0"/>
    <x v="25"/>
    <x v="1"/>
    <n v="3"/>
    <n v="50"/>
    <n v="150"/>
    <n v="2.25"/>
    <n v="3"/>
  </r>
  <r>
    <x v="34"/>
    <n v="5"/>
    <n v="8"/>
    <n v="2023"/>
    <s v="Saturday"/>
    <s v="August"/>
    <d v="2023-08-05T00:00:00"/>
    <x v="34"/>
    <x v="1"/>
    <x v="0"/>
    <x v="26"/>
    <x v="0"/>
    <n v="3"/>
    <n v="300"/>
    <n v="900"/>
    <n v="13.5"/>
    <n v="18"/>
  </r>
  <r>
    <x v="35"/>
    <n v="24"/>
    <n v="6"/>
    <n v="2023"/>
    <s v="Saturday"/>
    <s v="June"/>
    <d v="2023-06-24T00:00:00"/>
    <x v="35"/>
    <x v="0"/>
    <x v="0"/>
    <x v="8"/>
    <x v="0"/>
    <n v="3"/>
    <n v="300"/>
    <n v="900"/>
    <n v="13.5"/>
    <n v="18"/>
  </r>
  <r>
    <x v="36"/>
    <n v="23"/>
    <n v="5"/>
    <n v="2023"/>
    <s v="Tuesday"/>
    <s v="May"/>
    <d v="2023-05-23T00:00:00"/>
    <x v="36"/>
    <x v="1"/>
    <x v="1"/>
    <x v="18"/>
    <x v="0"/>
    <n v="3"/>
    <n v="25"/>
    <n v="75"/>
    <n v="1.125"/>
    <n v="1.5"/>
  </r>
  <r>
    <x v="37"/>
    <n v="21"/>
    <n v="3"/>
    <n v="2023"/>
    <s v="Tuesday"/>
    <s v="March"/>
    <d v="2023-03-21T00:00:00"/>
    <x v="37"/>
    <x v="0"/>
    <x v="0"/>
    <x v="21"/>
    <x v="0"/>
    <n v="4"/>
    <n v="50"/>
    <n v="200"/>
    <n v="3"/>
    <n v="4"/>
  </r>
  <r>
    <x v="38"/>
    <n v="21"/>
    <n v="4"/>
    <n v="2023"/>
    <s v="Friday"/>
    <s v="April"/>
    <d v="2023-04-21T00:00:00"/>
    <x v="38"/>
    <x v="0"/>
    <x v="1"/>
    <x v="9"/>
    <x v="1"/>
    <n v="4"/>
    <n v="30"/>
    <n v="120"/>
    <n v="1.7999999999999998"/>
    <n v="2.4"/>
  </r>
  <r>
    <x v="39"/>
    <n v="22"/>
    <n v="6"/>
    <n v="2023"/>
    <s v="Thursday"/>
    <s v="June"/>
    <d v="2023-06-22T00:00:00"/>
    <x v="39"/>
    <x v="0"/>
    <x v="0"/>
    <x v="5"/>
    <x v="0"/>
    <n v="1"/>
    <n v="50"/>
    <n v="50"/>
    <n v="0.75"/>
    <n v="1"/>
  </r>
  <r>
    <x v="40"/>
    <n v="22"/>
    <n v="2"/>
    <n v="2023"/>
    <s v="Wednesday"/>
    <s v="February"/>
    <d v="2023-02-22T00:00:00"/>
    <x v="40"/>
    <x v="0"/>
    <x v="0"/>
    <x v="0"/>
    <x v="1"/>
    <n v="2"/>
    <n v="25"/>
    <n v="50"/>
    <n v="0.75"/>
    <n v="1"/>
  </r>
  <r>
    <x v="41"/>
    <n v="17"/>
    <n v="2"/>
    <n v="2023"/>
    <s v="Friday"/>
    <s v="February"/>
    <d v="2023-02-17T00:00:00"/>
    <x v="41"/>
    <x v="0"/>
    <x v="1"/>
    <x v="11"/>
    <x v="1"/>
    <n v="3"/>
    <n v="300"/>
    <n v="900"/>
    <n v="13.5"/>
    <n v="18"/>
  </r>
  <r>
    <x v="42"/>
    <n v="14"/>
    <n v="7"/>
    <n v="2023"/>
    <s v="Friday"/>
    <s v="July"/>
    <d v="2023-07-14T00:00:00"/>
    <x v="42"/>
    <x v="1"/>
    <x v="0"/>
    <x v="27"/>
    <x v="1"/>
    <n v="1"/>
    <n v="300"/>
    <n v="300"/>
    <n v="4.5"/>
    <n v="6"/>
  </r>
  <r>
    <x v="43"/>
    <n v="19"/>
    <n v="2"/>
    <n v="2023"/>
    <s v="Sunday"/>
    <s v="February"/>
    <d v="2023-02-19T00:00:00"/>
    <x v="43"/>
    <x v="1"/>
    <x v="1"/>
    <x v="11"/>
    <x v="1"/>
    <n v="1"/>
    <n v="25"/>
    <n v="25"/>
    <n v="0.375"/>
    <n v="0.5"/>
  </r>
  <r>
    <x v="44"/>
    <n v="3"/>
    <n v="7"/>
    <n v="2023"/>
    <s v="Monday"/>
    <s v="July"/>
    <d v="2023-07-03T00:00:00"/>
    <x v="44"/>
    <x v="1"/>
    <x v="0"/>
    <x v="28"/>
    <x v="2"/>
    <n v="1"/>
    <n v="30"/>
    <n v="30"/>
    <n v="0.44999999999999996"/>
    <n v="0.6"/>
  </r>
  <r>
    <x v="45"/>
    <n v="26"/>
    <n v="6"/>
    <n v="2023"/>
    <s v="Monday"/>
    <s v="June"/>
    <d v="2023-06-26T00:00:00"/>
    <x v="45"/>
    <x v="1"/>
    <x v="1"/>
    <x v="29"/>
    <x v="2"/>
    <n v="4"/>
    <n v="300"/>
    <n v="1200"/>
    <n v="18"/>
    <n v="24"/>
  </r>
  <r>
    <x v="46"/>
    <n v="6"/>
    <n v="11"/>
    <n v="2023"/>
    <s v="Monday"/>
    <s v="November"/>
    <d v="2023-11-06T00:00:00"/>
    <x v="46"/>
    <x v="1"/>
    <x v="0"/>
    <x v="30"/>
    <x v="0"/>
    <n v="3"/>
    <n v="500"/>
    <n v="1500"/>
    <n v="22.5"/>
    <n v="30"/>
  </r>
  <r>
    <x v="47"/>
    <n v="16"/>
    <n v="5"/>
    <n v="2023"/>
    <s v="Tuesday"/>
    <s v="May"/>
    <d v="2023-05-16T00:00:00"/>
    <x v="47"/>
    <x v="0"/>
    <x v="0"/>
    <x v="31"/>
    <x v="2"/>
    <n v="3"/>
    <n v="300"/>
    <n v="900"/>
    <n v="13.5"/>
    <n v="18"/>
  </r>
  <r>
    <x v="48"/>
    <n v="23"/>
    <n v="1"/>
    <n v="2023"/>
    <s v="Monday"/>
    <s v="January"/>
    <d v="2023-01-23T00:00:00"/>
    <x v="48"/>
    <x v="1"/>
    <x v="0"/>
    <x v="31"/>
    <x v="2"/>
    <n v="2"/>
    <n v="500"/>
    <n v="1000"/>
    <n v="15"/>
    <n v="20"/>
  </r>
  <r>
    <x v="49"/>
    <n v="24"/>
    <n v="8"/>
    <n v="2023"/>
    <s v="Thursday"/>
    <s v="August"/>
    <d v="2023-08-24T00:00:00"/>
    <x v="49"/>
    <x v="1"/>
    <x v="1"/>
    <x v="15"/>
    <x v="0"/>
    <n v="3"/>
    <n v="25"/>
    <n v="75"/>
    <n v="1.125"/>
    <n v="1.5"/>
  </r>
  <r>
    <x v="50"/>
    <n v="2"/>
    <n v="10"/>
    <n v="2023"/>
    <s v="Monday"/>
    <s v="October"/>
    <d v="2023-10-02T00:00:00"/>
    <x v="50"/>
    <x v="0"/>
    <x v="1"/>
    <x v="15"/>
    <x v="0"/>
    <n v="3"/>
    <n v="25"/>
    <n v="75"/>
    <n v="1.125"/>
    <n v="1.5"/>
  </r>
  <r>
    <x v="51"/>
    <n v="5"/>
    <n v="3"/>
    <n v="2023"/>
    <s v="Sunday"/>
    <s v="March"/>
    <d v="2023-03-05T00:00:00"/>
    <x v="51"/>
    <x v="1"/>
    <x v="0"/>
    <x v="32"/>
    <x v="0"/>
    <n v="1"/>
    <n v="300"/>
    <n v="300"/>
    <n v="4.5"/>
    <n v="6"/>
  </r>
  <r>
    <x v="52"/>
    <n v="13"/>
    <n v="7"/>
    <n v="2023"/>
    <s v="Thursday"/>
    <s v="July"/>
    <d v="2023-07-13T00:00:00"/>
    <x v="52"/>
    <x v="0"/>
    <x v="0"/>
    <x v="0"/>
    <x v="2"/>
    <n v="2"/>
    <n v="50"/>
    <n v="100"/>
    <n v="1.5"/>
    <n v="2"/>
  </r>
  <r>
    <x v="53"/>
    <n v="10"/>
    <n v="2"/>
    <n v="2023"/>
    <s v="Friday"/>
    <s v="February"/>
    <d v="2023-02-10T00:00:00"/>
    <x v="53"/>
    <x v="1"/>
    <x v="0"/>
    <x v="21"/>
    <x v="2"/>
    <n v="3"/>
    <n v="500"/>
    <n v="1500"/>
    <n v="22.5"/>
    <n v="30"/>
  </r>
  <r>
    <x v="54"/>
    <n v="10"/>
    <n v="10"/>
    <n v="2023"/>
    <s v="Tuesday"/>
    <s v="October"/>
    <d v="2023-10-10T00:00:00"/>
    <x v="54"/>
    <x v="0"/>
    <x v="0"/>
    <x v="33"/>
    <x v="0"/>
    <n v="4"/>
    <n v="30"/>
    <n v="120"/>
    <n v="1.7999999999999998"/>
    <n v="2.4"/>
  </r>
  <r>
    <x v="55"/>
    <n v="31"/>
    <n v="5"/>
    <n v="2023"/>
    <s v="Wednesday"/>
    <s v="May"/>
    <d v="2023-05-31T00:00:00"/>
    <x v="55"/>
    <x v="1"/>
    <x v="1"/>
    <x v="1"/>
    <x v="1"/>
    <n v="3"/>
    <n v="300"/>
    <n v="900"/>
    <n v="13.5"/>
    <n v="18"/>
  </r>
  <r>
    <x v="56"/>
    <n v="18"/>
    <n v="11"/>
    <n v="2023"/>
    <s v="Saturday"/>
    <s v="November"/>
    <d v="2023-11-18T00:00:00"/>
    <x v="56"/>
    <x v="1"/>
    <x v="0"/>
    <x v="7"/>
    <x v="0"/>
    <n v="1"/>
    <n v="30"/>
    <n v="30"/>
    <n v="0.44999999999999996"/>
    <n v="0.6"/>
  </r>
  <r>
    <x v="57"/>
    <n v="13"/>
    <n v="11"/>
    <n v="2023"/>
    <s v="Monday"/>
    <s v="November"/>
    <d v="2023-11-13T00:00:00"/>
    <x v="57"/>
    <x v="0"/>
    <x v="1"/>
    <x v="18"/>
    <x v="1"/>
    <n v="4"/>
    <n v="300"/>
    <n v="1200"/>
    <n v="18"/>
    <n v="24"/>
  </r>
  <r>
    <x v="58"/>
    <n v="5"/>
    <n v="7"/>
    <n v="2023"/>
    <s v="Wednesday"/>
    <s v="July"/>
    <d v="2023-07-05T00:00:00"/>
    <x v="58"/>
    <x v="0"/>
    <x v="0"/>
    <x v="17"/>
    <x v="1"/>
    <n v="1"/>
    <n v="50"/>
    <n v="50"/>
    <n v="0.75"/>
    <n v="1"/>
  </r>
  <r>
    <x v="59"/>
    <n v="23"/>
    <n v="10"/>
    <n v="2023"/>
    <s v="Monday"/>
    <s v="October"/>
    <d v="2023-10-23T00:00:00"/>
    <x v="59"/>
    <x v="0"/>
    <x v="0"/>
    <x v="4"/>
    <x v="0"/>
    <n v="3"/>
    <n v="50"/>
    <n v="150"/>
    <n v="2.25"/>
    <n v="3"/>
  </r>
  <r>
    <x v="60"/>
    <n v="9"/>
    <n v="4"/>
    <n v="2023"/>
    <s v="Sunday"/>
    <s v="April"/>
    <d v="2023-04-09T00:00:00"/>
    <x v="60"/>
    <x v="0"/>
    <x v="1"/>
    <x v="34"/>
    <x v="0"/>
    <n v="4"/>
    <n v="50"/>
    <n v="200"/>
    <n v="3"/>
    <n v="4"/>
  </r>
  <r>
    <x v="61"/>
    <n v="27"/>
    <n v="12"/>
    <n v="2023"/>
    <s v="Wednesday"/>
    <s v="December"/>
    <d v="2023-12-27T00:00:00"/>
    <x v="61"/>
    <x v="0"/>
    <x v="1"/>
    <x v="18"/>
    <x v="0"/>
    <n v="2"/>
    <n v="50"/>
    <n v="100"/>
    <n v="1.5"/>
    <n v="2"/>
  </r>
  <r>
    <x v="62"/>
    <n v="5"/>
    <n v="2"/>
    <n v="2023"/>
    <s v="Sunday"/>
    <s v="February"/>
    <d v="2023-02-05T00:00:00"/>
    <x v="62"/>
    <x v="0"/>
    <x v="0"/>
    <x v="35"/>
    <x v="2"/>
    <n v="2"/>
    <n v="25"/>
    <n v="50"/>
    <n v="0.75"/>
    <n v="1"/>
  </r>
  <r>
    <x v="63"/>
    <n v="24"/>
    <n v="1"/>
    <n v="2023"/>
    <s v="Tuesday"/>
    <s v="January"/>
    <d v="2023-01-24T00:00:00"/>
    <x v="63"/>
    <x v="0"/>
    <x v="0"/>
    <x v="19"/>
    <x v="1"/>
    <n v="4"/>
    <n v="25"/>
    <n v="100"/>
    <n v="1.5"/>
    <n v="2"/>
  </r>
  <r>
    <x v="64"/>
    <n v="5"/>
    <n v="12"/>
    <n v="2023"/>
    <s v="Tuesday"/>
    <s v="December"/>
    <d v="2023-12-05T00:00:00"/>
    <x v="64"/>
    <x v="0"/>
    <x v="0"/>
    <x v="25"/>
    <x v="2"/>
    <n v="4"/>
    <n v="500"/>
    <n v="2000"/>
    <n v="30"/>
    <n v="40"/>
  </r>
  <r>
    <x v="65"/>
    <n v="27"/>
    <n v="4"/>
    <n v="2023"/>
    <s v="Thursday"/>
    <s v="April"/>
    <d v="2023-04-27T00:00:00"/>
    <x v="65"/>
    <x v="1"/>
    <x v="0"/>
    <x v="5"/>
    <x v="2"/>
    <n v="1"/>
    <n v="30"/>
    <n v="30"/>
    <n v="0.44999999999999996"/>
    <n v="0.6"/>
  </r>
  <r>
    <x v="66"/>
    <n v="29"/>
    <n v="5"/>
    <n v="2023"/>
    <s v="Monday"/>
    <s v="May"/>
    <d v="2023-05-29T00:00:00"/>
    <x v="66"/>
    <x v="1"/>
    <x v="0"/>
    <x v="27"/>
    <x v="0"/>
    <n v="4"/>
    <n v="300"/>
    <n v="1200"/>
    <n v="18"/>
    <n v="24"/>
  </r>
  <r>
    <x v="67"/>
    <n v="10"/>
    <n v="2"/>
    <n v="2023"/>
    <s v="Friday"/>
    <s v="February"/>
    <d v="2023-02-10T00:00:00"/>
    <x v="67"/>
    <x v="0"/>
    <x v="1"/>
    <x v="36"/>
    <x v="2"/>
    <n v="1"/>
    <n v="300"/>
    <n v="300"/>
    <n v="4.5"/>
    <n v="6"/>
  </r>
  <r>
    <x v="68"/>
    <n v="30"/>
    <n v="4"/>
    <n v="2023"/>
    <s v="Sunday"/>
    <s v="April"/>
    <d v="2023-04-30T00:00:00"/>
    <x v="68"/>
    <x v="1"/>
    <x v="0"/>
    <x v="37"/>
    <x v="0"/>
    <n v="3"/>
    <n v="25"/>
    <n v="75"/>
    <n v="1.125"/>
    <n v="1.5"/>
  </r>
  <r>
    <x v="69"/>
    <n v="21"/>
    <n v="2"/>
    <n v="2023"/>
    <s v="Tuesday"/>
    <s v="February"/>
    <d v="2023-02-21T00:00:00"/>
    <x v="69"/>
    <x v="1"/>
    <x v="0"/>
    <x v="22"/>
    <x v="1"/>
    <n v="1"/>
    <n v="300"/>
    <n v="300"/>
    <n v="4.5"/>
    <n v="6"/>
  </r>
  <r>
    <x v="70"/>
    <n v="14"/>
    <n v="7"/>
    <n v="2023"/>
    <s v="Friday"/>
    <s v="July"/>
    <d v="2023-07-14T00:00:00"/>
    <x v="70"/>
    <x v="1"/>
    <x v="0"/>
    <x v="25"/>
    <x v="0"/>
    <n v="4"/>
    <n v="25"/>
    <n v="100"/>
    <n v="1.5"/>
    <n v="2"/>
  </r>
  <r>
    <x v="71"/>
    <n v="23"/>
    <n v="5"/>
    <n v="2023"/>
    <s v="Tuesday"/>
    <s v="May"/>
    <d v="2023-05-23T00:00:00"/>
    <x v="71"/>
    <x v="1"/>
    <x v="1"/>
    <x v="29"/>
    <x v="2"/>
    <n v="4"/>
    <n v="500"/>
    <n v="2000"/>
    <n v="30"/>
    <n v="40"/>
  </r>
  <r>
    <x v="72"/>
    <n v="21"/>
    <n v="8"/>
    <n v="2023"/>
    <s v="Monday"/>
    <s v="August"/>
    <d v="2023-08-21T00:00:00"/>
    <x v="72"/>
    <x v="0"/>
    <x v="1"/>
    <x v="38"/>
    <x v="2"/>
    <n v="3"/>
    <n v="30"/>
    <n v="90"/>
    <n v="1.3499999999999999"/>
    <n v="1.8"/>
  </r>
  <r>
    <x v="73"/>
    <n v="22"/>
    <n v="11"/>
    <n v="2023"/>
    <s v="Wednesday"/>
    <s v="November"/>
    <d v="2023-11-22T00:00:00"/>
    <x v="73"/>
    <x v="1"/>
    <x v="1"/>
    <x v="18"/>
    <x v="0"/>
    <n v="4"/>
    <n v="500"/>
    <n v="2000"/>
    <n v="30"/>
    <n v="40"/>
  </r>
  <r>
    <x v="74"/>
    <n v="6"/>
    <n v="7"/>
    <n v="2023"/>
    <s v="Thursday"/>
    <s v="July"/>
    <d v="2023-07-06T00:00:00"/>
    <x v="74"/>
    <x v="0"/>
    <x v="0"/>
    <x v="39"/>
    <x v="0"/>
    <n v="4"/>
    <n v="50"/>
    <n v="200"/>
    <n v="3"/>
    <n v="4"/>
  </r>
  <r>
    <x v="75"/>
    <n v="25"/>
    <n v="3"/>
    <n v="2023"/>
    <s v="Saturday"/>
    <s v="March"/>
    <d v="2023-03-25T00:00:00"/>
    <x v="75"/>
    <x v="1"/>
    <x v="1"/>
    <x v="11"/>
    <x v="2"/>
    <n v="2"/>
    <n v="50"/>
    <n v="100"/>
    <n v="1.5"/>
    <n v="2"/>
  </r>
  <r>
    <x v="76"/>
    <n v="9"/>
    <n v="7"/>
    <n v="2023"/>
    <s v="Sunday"/>
    <s v="July"/>
    <d v="2023-07-09T00:00:00"/>
    <x v="76"/>
    <x v="1"/>
    <x v="0"/>
    <x v="16"/>
    <x v="1"/>
    <n v="2"/>
    <n v="50"/>
    <n v="100"/>
    <n v="1.5"/>
    <n v="2"/>
  </r>
  <r>
    <x v="77"/>
    <n v="1"/>
    <n v="7"/>
    <n v="2023"/>
    <s v="Saturday"/>
    <s v="July"/>
    <d v="2023-07-01T00:00:00"/>
    <x v="77"/>
    <x v="1"/>
    <x v="0"/>
    <x v="16"/>
    <x v="1"/>
    <n v="3"/>
    <n v="500"/>
    <n v="1500"/>
    <n v="22.5"/>
    <n v="30"/>
  </r>
  <r>
    <x v="78"/>
    <n v="18"/>
    <n v="4"/>
    <n v="2023"/>
    <s v="Tuesday"/>
    <s v="April"/>
    <d v="2023-04-18T00:00:00"/>
    <x v="78"/>
    <x v="0"/>
    <x v="0"/>
    <x v="0"/>
    <x v="0"/>
    <n v="1"/>
    <n v="300"/>
    <n v="300"/>
    <n v="4.5"/>
    <n v="6"/>
  </r>
  <r>
    <x v="79"/>
    <n v="10"/>
    <n v="12"/>
    <n v="2023"/>
    <s v="Sunday"/>
    <s v="December"/>
    <d v="2023-12-10T00:00:00"/>
    <x v="79"/>
    <x v="1"/>
    <x v="0"/>
    <x v="12"/>
    <x v="1"/>
    <n v="2"/>
    <n v="30"/>
    <n v="60"/>
    <n v="0.89999999999999991"/>
    <n v="1.2"/>
  </r>
  <r>
    <x v="80"/>
    <n v="17"/>
    <n v="5"/>
    <n v="2023"/>
    <s v="Wednesday"/>
    <s v="May"/>
    <d v="2023-05-17T00:00:00"/>
    <x v="80"/>
    <x v="0"/>
    <x v="0"/>
    <x v="30"/>
    <x v="2"/>
    <n v="1"/>
    <n v="50"/>
    <n v="50"/>
    <n v="0.75"/>
    <n v="1"/>
  </r>
  <r>
    <x v="81"/>
    <n v="26"/>
    <n v="12"/>
    <n v="2023"/>
    <s v="Tuesday"/>
    <s v="December"/>
    <d v="2023-12-26T00:00:00"/>
    <x v="81"/>
    <x v="1"/>
    <x v="0"/>
    <x v="40"/>
    <x v="0"/>
    <n v="4"/>
    <n v="50"/>
    <n v="200"/>
    <n v="3"/>
    <n v="4"/>
  </r>
  <r>
    <x v="82"/>
    <n v="16"/>
    <n v="12"/>
    <n v="2023"/>
    <s v="Saturday"/>
    <s v="December"/>
    <d v="2023-12-16T00:00:00"/>
    <x v="82"/>
    <x v="0"/>
    <x v="0"/>
    <x v="31"/>
    <x v="2"/>
    <n v="2"/>
    <n v="50"/>
    <n v="100"/>
    <n v="1.5"/>
    <n v="2"/>
  </r>
  <r>
    <x v="83"/>
    <n v="28"/>
    <n v="11"/>
    <n v="2023"/>
    <s v="Tuesday"/>
    <s v="November"/>
    <d v="2023-11-28T00:00:00"/>
    <x v="83"/>
    <x v="1"/>
    <x v="0"/>
    <x v="21"/>
    <x v="2"/>
    <n v="3"/>
    <n v="30"/>
    <n v="90"/>
    <n v="1.3499999999999999"/>
    <n v="1.8"/>
  </r>
  <r>
    <x v="84"/>
    <n v="6"/>
    <n v="2"/>
    <n v="2023"/>
    <s v="Monday"/>
    <s v="February"/>
    <d v="2023-02-06T00:00:00"/>
    <x v="84"/>
    <x v="0"/>
    <x v="0"/>
    <x v="33"/>
    <x v="1"/>
    <n v="3"/>
    <n v="50"/>
    <n v="150"/>
    <n v="2.25"/>
    <n v="3"/>
  </r>
  <r>
    <x v="85"/>
    <n v="8"/>
    <n v="11"/>
    <n v="2023"/>
    <s v="Wednesday"/>
    <s v="November"/>
    <d v="2023-11-08T00:00:00"/>
    <x v="85"/>
    <x v="0"/>
    <x v="1"/>
    <x v="14"/>
    <x v="0"/>
    <n v="3"/>
    <n v="30"/>
    <n v="90"/>
    <n v="1.3499999999999999"/>
    <n v="1.8"/>
  </r>
  <r>
    <x v="86"/>
    <n v="22"/>
    <n v="11"/>
    <n v="2023"/>
    <s v="Wednesday"/>
    <s v="November"/>
    <d v="2023-11-22T00:00:00"/>
    <x v="86"/>
    <x v="1"/>
    <x v="1"/>
    <x v="20"/>
    <x v="0"/>
    <n v="2"/>
    <n v="50"/>
    <n v="100"/>
    <n v="1.5"/>
    <n v="2"/>
  </r>
  <r>
    <x v="87"/>
    <n v="29"/>
    <n v="3"/>
    <n v="2023"/>
    <s v="Wednesday"/>
    <s v="March"/>
    <d v="2023-03-29T00:00:00"/>
    <x v="87"/>
    <x v="0"/>
    <x v="0"/>
    <x v="37"/>
    <x v="1"/>
    <n v="1"/>
    <n v="500"/>
    <n v="500"/>
    <n v="7.5"/>
    <n v="10"/>
  </r>
  <r>
    <x v="88"/>
    <n v="1"/>
    <n v="10"/>
    <n v="2023"/>
    <s v="Sunday"/>
    <s v="October"/>
    <d v="2023-10-01T00:00:00"/>
    <x v="88"/>
    <x v="1"/>
    <x v="0"/>
    <x v="28"/>
    <x v="2"/>
    <n v="4"/>
    <n v="500"/>
    <n v="2000"/>
    <n v="30"/>
    <n v="40"/>
  </r>
  <r>
    <x v="89"/>
    <n v="6"/>
    <n v="5"/>
    <n v="2023"/>
    <s v="Saturday"/>
    <s v="May"/>
    <d v="2023-05-06T00:00:00"/>
    <x v="89"/>
    <x v="1"/>
    <x v="0"/>
    <x v="25"/>
    <x v="2"/>
    <n v="1"/>
    <n v="30"/>
    <n v="30"/>
    <n v="0.44999999999999996"/>
    <n v="0.6"/>
  </r>
  <r>
    <x v="90"/>
    <n v="25"/>
    <n v="3"/>
    <n v="2023"/>
    <s v="Saturday"/>
    <s v="March"/>
    <d v="2023-03-25T00:00:00"/>
    <x v="90"/>
    <x v="1"/>
    <x v="0"/>
    <x v="28"/>
    <x v="2"/>
    <n v="1"/>
    <n v="500"/>
    <n v="500"/>
    <n v="7.5"/>
    <n v="10"/>
  </r>
  <r>
    <x v="91"/>
    <n v="25"/>
    <n v="8"/>
    <n v="2023"/>
    <s v="Friday"/>
    <s v="August"/>
    <d v="2023-08-25T00:00:00"/>
    <x v="91"/>
    <x v="1"/>
    <x v="0"/>
    <x v="25"/>
    <x v="2"/>
    <n v="4"/>
    <n v="30"/>
    <n v="120"/>
    <n v="1.7999999999999998"/>
    <n v="2.4"/>
  </r>
  <r>
    <x v="92"/>
    <n v="14"/>
    <n v="7"/>
    <n v="2023"/>
    <s v="Friday"/>
    <s v="July"/>
    <d v="2023-07-14T00:00:00"/>
    <x v="92"/>
    <x v="1"/>
    <x v="0"/>
    <x v="10"/>
    <x v="0"/>
    <n v="4"/>
    <n v="500"/>
    <n v="2000"/>
    <n v="30"/>
    <n v="40"/>
  </r>
  <r>
    <x v="93"/>
    <n v="19"/>
    <n v="5"/>
    <n v="2023"/>
    <s v="Friday"/>
    <s v="May"/>
    <d v="2023-05-19T00:00:00"/>
    <x v="93"/>
    <x v="1"/>
    <x v="0"/>
    <x v="16"/>
    <x v="0"/>
    <n v="2"/>
    <n v="500"/>
    <n v="1000"/>
    <n v="15"/>
    <n v="20"/>
  </r>
  <r>
    <x v="94"/>
    <n v="24"/>
    <n v="11"/>
    <n v="2023"/>
    <s v="Friday"/>
    <s v="November"/>
    <d v="2023-11-24T00:00:00"/>
    <x v="94"/>
    <x v="1"/>
    <x v="0"/>
    <x v="40"/>
    <x v="1"/>
    <n v="2"/>
    <n v="30"/>
    <n v="60"/>
    <n v="0.89999999999999991"/>
    <n v="1.2"/>
  </r>
  <r>
    <x v="95"/>
    <n v="19"/>
    <n v="12"/>
    <n v="2023"/>
    <s v="Tuesday"/>
    <s v="December"/>
    <d v="2023-12-19T00:00:00"/>
    <x v="95"/>
    <x v="1"/>
    <x v="0"/>
    <x v="24"/>
    <x v="1"/>
    <n v="2"/>
    <n v="300"/>
    <n v="600"/>
    <n v="9"/>
    <n v="12"/>
  </r>
  <r>
    <x v="96"/>
    <n v="13"/>
    <n v="10"/>
    <n v="2023"/>
    <s v="Friday"/>
    <s v="October"/>
    <d v="2023-10-13T00:00:00"/>
    <x v="96"/>
    <x v="1"/>
    <x v="0"/>
    <x v="25"/>
    <x v="0"/>
    <n v="2"/>
    <n v="500"/>
    <n v="1000"/>
    <n v="15"/>
    <n v="20"/>
  </r>
  <r>
    <x v="97"/>
    <n v="23"/>
    <n v="4"/>
    <n v="2023"/>
    <s v="Sunday"/>
    <s v="April"/>
    <d v="2023-04-23T00:00:00"/>
    <x v="97"/>
    <x v="1"/>
    <x v="0"/>
    <x v="28"/>
    <x v="0"/>
    <n v="2"/>
    <n v="50"/>
    <n v="100"/>
    <n v="1.5"/>
    <n v="2"/>
  </r>
  <r>
    <x v="98"/>
    <n v="17"/>
    <n v="12"/>
    <n v="2023"/>
    <s v="Sunday"/>
    <s v="December"/>
    <d v="2023-12-17T00:00:00"/>
    <x v="98"/>
    <x v="1"/>
    <x v="0"/>
    <x v="2"/>
    <x v="2"/>
    <n v="4"/>
    <n v="300"/>
    <n v="1200"/>
    <n v="18"/>
    <n v="24"/>
  </r>
  <r>
    <x v="99"/>
    <n v="16"/>
    <n v="6"/>
    <n v="2023"/>
    <s v="Friday"/>
    <s v="June"/>
    <d v="2023-06-16T00:00:00"/>
    <x v="99"/>
    <x v="0"/>
    <x v="0"/>
    <x v="41"/>
    <x v="2"/>
    <n v="1"/>
    <n v="30"/>
    <n v="30"/>
    <n v="0.44999999999999996"/>
    <n v="0.6"/>
  </r>
  <r>
    <x v="100"/>
    <n v="29"/>
    <n v="1"/>
    <n v="2023"/>
    <s v="Sunday"/>
    <s v="January"/>
    <d v="2023-01-29T00:00:00"/>
    <x v="100"/>
    <x v="0"/>
    <x v="0"/>
    <x v="40"/>
    <x v="1"/>
    <n v="2"/>
    <n v="300"/>
    <n v="600"/>
    <n v="9"/>
    <n v="12"/>
  </r>
  <r>
    <x v="101"/>
    <n v="28"/>
    <n v="4"/>
    <n v="2023"/>
    <s v="Friday"/>
    <s v="April"/>
    <d v="2023-04-28T00:00:00"/>
    <x v="101"/>
    <x v="1"/>
    <x v="0"/>
    <x v="16"/>
    <x v="0"/>
    <n v="2"/>
    <n v="25"/>
    <n v="50"/>
    <n v="0.75"/>
    <n v="1"/>
  </r>
  <r>
    <x v="102"/>
    <n v="17"/>
    <n v="1"/>
    <n v="2023"/>
    <s v="Tuesday"/>
    <s v="January"/>
    <d v="2023-01-17T00:00:00"/>
    <x v="102"/>
    <x v="1"/>
    <x v="0"/>
    <x v="42"/>
    <x v="1"/>
    <n v="1"/>
    <n v="25"/>
    <n v="25"/>
    <n v="0.375"/>
    <n v="0.5"/>
  </r>
  <r>
    <x v="103"/>
    <n v="11"/>
    <n v="6"/>
    <n v="2023"/>
    <s v="Sunday"/>
    <s v="June"/>
    <d v="2023-06-11T00:00:00"/>
    <x v="103"/>
    <x v="1"/>
    <x v="0"/>
    <x v="0"/>
    <x v="0"/>
    <n v="2"/>
    <n v="500"/>
    <n v="1000"/>
    <n v="15"/>
    <n v="20"/>
  </r>
  <r>
    <x v="104"/>
    <n v="25"/>
    <n v="7"/>
    <n v="2023"/>
    <s v="Tuesday"/>
    <s v="July"/>
    <d v="2023-07-25T00:00:00"/>
    <x v="104"/>
    <x v="1"/>
    <x v="1"/>
    <x v="11"/>
    <x v="2"/>
    <n v="1"/>
    <n v="500"/>
    <n v="500"/>
    <n v="7.5"/>
    <n v="10"/>
  </r>
  <r>
    <x v="105"/>
    <n v="18"/>
    <n v="5"/>
    <n v="2023"/>
    <s v="Thursday"/>
    <s v="May"/>
    <d v="2023-05-18T00:00:00"/>
    <x v="105"/>
    <x v="1"/>
    <x v="0"/>
    <x v="6"/>
    <x v="1"/>
    <n v="1"/>
    <n v="50"/>
    <n v="50"/>
    <n v="0.75"/>
    <n v="1"/>
  </r>
  <r>
    <x v="106"/>
    <n v="3"/>
    <n v="2"/>
    <n v="2023"/>
    <s v="Friday"/>
    <s v="February"/>
    <d v="2023-02-03T00:00:00"/>
    <x v="106"/>
    <x v="1"/>
    <x v="1"/>
    <x v="34"/>
    <x v="1"/>
    <n v="4"/>
    <n v="300"/>
    <n v="1200"/>
    <n v="18"/>
    <n v="24"/>
  </r>
  <r>
    <x v="107"/>
    <n v="19"/>
    <n v="4"/>
    <n v="2023"/>
    <s v="Wednesday"/>
    <s v="April"/>
    <d v="2023-04-19T00:00:00"/>
    <x v="107"/>
    <x v="1"/>
    <x v="1"/>
    <x v="15"/>
    <x v="0"/>
    <n v="3"/>
    <n v="25"/>
    <n v="75"/>
    <n v="1.125"/>
    <n v="1.5"/>
  </r>
  <r>
    <x v="108"/>
    <n v="18"/>
    <n v="10"/>
    <n v="2023"/>
    <s v="Wednesday"/>
    <s v="October"/>
    <d v="2023-10-18T00:00:00"/>
    <x v="108"/>
    <x v="1"/>
    <x v="0"/>
    <x v="0"/>
    <x v="2"/>
    <n v="4"/>
    <n v="500"/>
    <n v="2000"/>
    <n v="30"/>
    <n v="40"/>
  </r>
  <r>
    <x v="109"/>
    <n v="11"/>
    <n v="6"/>
    <n v="2023"/>
    <s v="Sunday"/>
    <s v="June"/>
    <d v="2023-06-11T00:00:00"/>
    <x v="109"/>
    <x v="0"/>
    <x v="1"/>
    <x v="15"/>
    <x v="1"/>
    <n v="3"/>
    <n v="300"/>
    <n v="900"/>
    <n v="13.5"/>
    <n v="18"/>
  </r>
  <r>
    <x v="110"/>
    <n v="19"/>
    <n v="4"/>
    <n v="2023"/>
    <s v="Wednesday"/>
    <s v="April"/>
    <d v="2023-04-19T00:00:00"/>
    <x v="110"/>
    <x v="1"/>
    <x v="0"/>
    <x v="0"/>
    <x v="2"/>
    <n v="3"/>
    <n v="500"/>
    <n v="1500"/>
    <n v="22.5"/>
    <n v="30"/>
  </r>
  <r>
    <x v="111"/>
    <n v="2"/>
    <n v="12"/>
    <n v="2023"/>
    <s v="Saturday"/>
    <s v="December"/>
    <d v="2023-12-02T00:00:00"/>
    <x v="111"/>
    <x v="0"/>
    <x v="0"/>
    <x v="3"/>
    <x v="1"/>
    <n v="3"/>
    <n v="500"/>
    <n v="1500"/>
    <n v="22.5"/>
    <n v="30"/>
  </r>
  <r>
    <x v="112"/>
    <n v="13"/>
    <n v="9"/>
    <n v="2023"/>
    <s v="Wednesday"/>
    <s v="September"/>
    <d v="2023-09-13T00:00:00"/>
    <x v="112"/>
    <x v="1"/>
    <x v="0"/>
    <x v="41"/>
    <x v="2"/>
    <n v="2"/>
    <n v="25"/>
    <n v="50"/>
    <n v="0.75"/>
    <n v="1"/>
  </r>
  <r>
    <x v="113"/>
    <n v="22"/>
    <n v="7"/>
    <n v="2023"/>
    <s v="Saturday"/>
    <s v="July"/>
    <d v="2023-07-22T00:00:00"/>
    <x v="113"/>
    <x v="1"/>
    <x v="1"/>
    <x v="11"/>
    <x v="0"/>
    <n v="4"/>
    <n v="25"/>
    <n v="100"/>
    <n v="1.5"/>
    <n v="2"/>
  </r>
  <r>
    <x v="114"/>
    <n v="26"/>
    <n v="11"/>
    <n v="2023"/>
    <s v="Sunday"/>
    <s v="November"/>
    <d v="2023-11-26T00:00:00"/>
    <x v="114"/>
    <x v="0"/>
    <x v="0"/>
    <x v="25"/>
    <x v="1"/>
    <n v="3"/>
    <n v="500"/>
    <n v="1500"/>
    <n v="22.5"/>
    <n v="30"/>
  </r>
  <r>
    <x v="115"/>
    <n v="23"/>
    <n v="8"/>
    <n v="2023"/>
    <s v="Wednesday"/>
    <s v="August"/>
    <d v="2023-08-23T00:00:00"/>
    <x v="115"/>
    <x v="1"/>
    <x v="1"/>
    <x v="9"/>
    <x v="1"/>
    <n v="1"/>
    <n v="30"/>
    <n v="30"/>
    <n v="0.44999999999999996"/>
    <n v="0.6"/>
  </r>
  <r>
    <x v="116"/>
    <n v="15"/>
    <n v="3"/>
    <n v="2023"/>
    <s v="Wednesday"/>
    <s v="March"/>
    <d v="2023-03-15T00:00:00"/>
    <x v="116"/>
    <x v="0"/>
    <x v="1"/>
    <x v="14"/>
    <x v="2"/>
    <n v="2"/>
    <n v="500"/>
    <n v="1000"/>
    <n v="15"/>
    <n v="20"/>
  </r>
  <r>
    <x v="117"/>
    <n v="16"/>
    <n v="5"/>
    <n v="2023"/>
    <s v="Tuesday"/>
    <s v="May"/>
    <d v="2023-05-16T00:00:00"/>
    <x v="117"/>
    <x v="1"/>
    <x v="0"/>
    <x v="4"/>
    <x v="2"/>
    <n v="4"/>
    <n v="500"/>
    <n v="2000"/>
    <n v="30"/>
    <n v="40"/>
  </r>
  <r>
    <x v="118"/>
    <n v="13"/>
    <n v="3"/>
    <n v="2023"/>
    <s v="Monday"/>
    <s v="March"/>
    <d v="2023-03-13T00:00:00"/>
    <x v="118"/>
    <x v="1"/>
    <x v="0"/>
    <x v="43"/>
    <x v="1"/>
    <n v="3"/>
    <n v="50"/>
    <n v="150"/>
    <n v="2.25"/>
    <n v="3"/>
  </r>
  <r>
    <x v="119"/>
    <n v="7"/>
    <n v="5"/>
    <n v="2023"/>
    <s v="Sunday"/>
    <s v="May"/>
    <d v="2023-05-07T00:00:00"/>
    <x v="119"/>
    <x v="0"/>
    <x v="0"/>
    <x v="43"/>
    <x v="0"/>
    <n v="1"/>
    <n v="50"/>
    <n v="50"/>
    <n v="0.75"/>
    <n v="1"/>
  </r>
  <r>
    <x v="120"/>
    <n v="15"/>
    <n v="10"/>
    <n v="2023"/>
    <s v="Sunday"/>
    <s v="October"/>
    <d v="2023-10-15T00:00:00"/>
    <x v="120"/>
    <x v="1"/>
    <x v="1"/>
    <x v="20"/>
    <x v="2"/>
    <n v="4"/>
    <n v="50"/>
    <n v="200"/>
    <n v="3"/>
    <n v="4"/>
  </r>
  <r>
    <x v="121"/>
    <n v="3"/>
    <n v="10"/>
    <n v="2023"/>
    <s v="Tuesday"/>
    <s v="October"/>
    <d v="2023-10-03T00:00:00"/>
    <x v="121"/>
    <x v="0"/>
    <x v="0"/>
    <x v="12"/>
    <x v="2"/>
    <n v="4"/>
    <n v="30"/>
    <n v="120"/>
    <n v="1.7999999999999998"/>
    <n v="2.4"/>
  </r>
  <r>
    <x v="122"/>
    <n v="15"/>
    <n v="5"/>
    <n v="2023"/>
    <s v="Monday"/>
    <s v="May"/>
    <d v="2023-05-15T00:00:00"/>
    <x v="122"/>
    <x v="1"/>
    <x v="0"/>
    <x v="30"/>
    <x v="2"/>
    <n v="2"/>
    <n v="30"/>
    <n v="60"/>
    <n v="0.89999999999999991"/>
    <n v="1.2"/>
  </r>
  <r>
    <x v="123"/>
    <n v="27"/>
    <n v="10"/>
    <n v="2023"/>
    <s v="Friday"/>
    <s v="October"/>
    <d v="2023-10-27T00:00:00"/>
    <x v="123"/>
    <x v="0"/>
    <x v="0"/>
    <x v="44"/>
    <x v="1"/>
    <n v="4"/>
    <n v="500"/>
    <n v="2000"/>
    <n v="30"/>
    <n v="40"/>
  </r>
  <r>
    <x v="124"/>
    <n v="8"/>
    <n v="8"/>
    <n v="2023"/>
    <s v="Tuesday"/>
    <s v="August"/>
    <d v="2023-08-08T00:00:00"/>
    <x v="124"/>
    <x v="0"/>
    <x v="0"/>
    <x v="27"/>
    <x v="1"/>
    <n v="2"/>
    <n v="50"/>
    <n v="100"/>
    <n v="1.5"/>
    <n v="2"/>
  </r>
  <r>
    <x v="125"/>
    <n v="26"/>
    <n v="10"/>
    <n v="2023"/>
    <s v="Thursday"/>
    <s v="October"/>
    <d v="2023-10-26T00:00:00"/>
    <x v="125"/>
    <x v="1"/>
    <x v="1"/>
    <x v="20"/>
    <x v="1"/>
    <n v="3"/>
    <n v="30"/>
    <n v="90"/>
    <n v="1.3499999999999999"/>
    <n v="1.8"/>
  </r>
  <r>
    <x v="126"/>
    <n v="24"/>
    <n v="7"/>
    <n v="2023"/>
    <s v="Monday"/>
    <s v="July"/>
    <d v="2023-07-24T00:00:00"/>
    <x v="126"/>
    <x v="1"/>
    <x v="0"/>
    <x v="44"/>
    <x v="1"/>
    <n v="2"/>
    <n v="25"/>
    <n v="50"/>
    <n v="0.75"/>
    <n v="1"/>
  </r>
  <r>
    <x v="127"/>
    <n v="5"/>
    <n v="7"/>
    <n v="2023"/>
    <s v="Wednesday"/>
    <s v="July"/>
    <d v="2023-07-05T00:00:00"/>
    <x v="127"/>
    <x v="0"/>
    <x v="1"/>
    <x v="36"/>
    <x v="0"/>
    <n v="1"/>
    <n v="500"/>
    <n v="500"/>
    <n v="7.5"/>
    <n v="10"/>
  </r>
  <r>
    <x v="128"/>
    <n v="23"/>
    <n v="4"/>
    <n v="2023"/>
    <s v="Sunday"/>
    <s v="April"/>
    <d v="2023-04-23T00:00:00"/>
    <x v="128"/>
    <x v="1"/>
    <x v="1"/>
    <x v="34"/>
    <x v="0"/>
    <n v="2"/>
    <n v="300"/>
    <n v="600"/>
    <n v="9"/>
    <n v="12"/>
  </r>
  <r>
    <x v="129"/>
    <n v="12"/>
    <n v="3"/>
    <n v="2023"/>
    <s v="Sunday"/>
    <s v="March"/>
    <d v="2023-03-12T00:00:00"/>
    <x v="129"/>
    <x v="1"/>
    <x v="0"/>
    <x v="35"/>
    <x v="1"/>
    <n v="1"/>
    <n v="500"/>
    <n v="500"/>
    <n v="7.5"/>
    <n v="10"/>
  </r>
  <r>
    <x v="130"/>
    <n v="18"/>
    <n v="9"/>
    <n v="2023"/>
    <s v="Monday"/>
    <s v="September"/>
    <d v="2023-09-18T00:00:00"/>
    <x v="130"/>
    <x v="1"/>
    <x v="1"/>
    <x v="34"/>
    <x v="0"/>
    <n v="2"/>
    <n v="300"/>
    <n v="600"/>
    <n v="9"/>
    <n v="12"/>
  </r>
  <r>
    <x v="131"/>
    <n v="10"/>
    <n v="9"/>
    <n v="2023"/>
    <s v="Sunday"/>
    <s v="September"/>
    <d v="2023-09-10T00:00:00"/>
    <x v="131"/>
    <x v="0"/>
    <x v="0"/>
    <x v="13"/>
    <x v="2"/>
    <n v="4"/>
    <n v="50"/>
    <n v="200"/>
    <n v="3"/>
    <n v="4"/>
  </r>
  <r>
    <x v="132"/>
    <n v="16"/>
    <n v="2"/>
    <n v="2023"/>
    <s v="Thursday"/>
    <s v="February"/>
    <d v="2023-02-16T00:00:00"/>
    <x v="132"/>
    <x v="0"/>
    <x v="1"/>
    <x v="29"/>
    <x v="2"/>
    <n v="3"/>
    <n v="300"/>
    <n v="900"/>
    <n v="13.5"/>
    <n v="18"/>
  </r>
  <r>
    <x v="133"/>
    <n v="25"/>
    <n v="1"/>
    <n v="2023"/>
    <s v="Wednesday"/>
    <s v="January"/>
    <d v="2023-01-25T00:00:00"/>
    <x v="133"/>
    <x v="0"/>
    <x v="0"/>
    <x v="19"/>
    <x v="2"/>
    <n v="1"/>
    <n v="50"/>
    <n v="50"/>
    <n v="0.75"/>
    <n v="1"/>
  </r>
  <r>
    <x v="134"/>
    <n v="26"/>
    <n v="2"/>
    <n v="2023"/>
    <s v="Sunday"/>
    <s v="February"/>
    <d v="2023-02-26T00:00:00"/>
    <x v="134"/>
    <x v="0"/>
    <x v="1"/>
    <x v="29"/>
    <x v="1"/>
    <n v="2"/>
    <n v="25"/>
    <n v="50"/>
    <n v="0.75"/>
    <n v="1"/>
  </r>
  <r>
    <x v="135"/>
    <n v="20"/>
    <n v="3"/>
    <n v="2023"/>
    <s v="Monday"/>
    <s v="March"/>
    <d v="2023-03-20T00:00:00"/>
    <x v="135"/>
    <x v="0"/>
    <x v="0"/>
    <x v="24"/>
    <x v="2"/>
    <n v="2"/>
    <n v="300"/>
    <n v="600"/>
    <n v="9"/>
    <n v="12"/>
  </r>
  <r>
    <x v="136"/>
    <n v="18"/>
    <n v="11"/>
    <n v="2023"/>
    <s v="Saturday"/>
    <s v="November"/>
    <d v="2023-11-18T00:00:00"/>
    <x v="136"/>
    <x v="0"/>
    <x v="0"/>
    <x v="6"/>
    <x v="0"/>
    <n v="2"/>
    <n v="500"/>
    <n v="1000"/>
    <n v="15"/>
    <n v="20"/>
  </r>
  <r>
    <x v="137"/>
    <n v="23"/>
    <n v="3"/>
    <n v="2023"/>
    <s v="Thursday"/>
    <s v="March"/>
    <d v="2023-03-23T00:00:00"/>
    <x v="137"/>
    <x v="0"/>
    <x v="0"/>
    <x v="19"/>
    <x v="1"/>
    <n v="4"/>
    <n v="50"/>
    <n v="200"/>
    <n v="3"/>
    <n v="4"/>
  </r>
  <r>
    <x v="138"/>
    <n v="15"/>
    <n v="12"/>
    <n v="2023"/>
    <s v="Friday"/>
    <s v="December"/>
    <d v="2023-12-15T00:00:00"/>
    <x v="138"/>
    <x v="0"/>
    <x v="0"/>
    <x v="32"/>
    <x v="0"/>
    <n v="4"/>
    <n v="500"/>
    <n v="2000"/>
    <n v="30"/>
    <n v="40"/>
  </r>
  <r>
    <x v="139"/>
    <n v="5"/>
    <n v="8"/>
    <n v="2023"/>
    <s v="Saturday"/>
    <s v="August"/>
    <d v="2023-08-05T00:00:00"/>
    <x v="139"/>
    <x v="0"/>
    <x v="0"/>
    <x v="21"/>
    <x v="2"/>
    <n v="1"/>
    <n v="30"/>
    <n v="30"/>
    <n v="0.44999999999999996"/>
    <n v="0.6"/>
  </r>
  <r>
    <x v="140"/>
    <n v="2"/>
    <n v="11"/>
    <n v="2023"/>
    <s v="Thursday"/>
    <s v="November"/>
    <d v="2023-11-02T00:00:00"/>
    <x v="140"/>
    <x v="1"/>
    <x v="1"/>
    <x v="11"/>
    <x v="2"/>
    <n v="1"/>
    <n v="50"/>
    <n v="50"/>
    <n v="0.75"/>
    <n v="1"/>
  </r>
  <r>
    <x v="141"/>
    <n v="2"/>
    <n v="2"/>
    <n v="2023"/>
    <s v="Thursday"/>
    <s v="February"/>
    <d v="2023-02-02T00:00:00"/>
    <x v="141"/>
    <x v="0"/>
    <x v="0"/>
    <x v="10"/>
    <x v="2"/>
    <n v="4"/>
    <n v="300"/>
    <n v="1200"/>
    <n v="18"/>
    <n v="24"/>
  </r>
  <r>
    <x v="142"/>
    <n v="17"/>
    <n v="7"/>
    <n v="2023"/>
    <s v="Monday"/>
    <s v="July"/>
    <d v="2023-07-17T00:00:00"/>
    <x v="142"/>
    <x v="1"/>
    <x v="0"/>
    <x v="5"/>
    <x v="1"/>
    <n v="1"/>
    <n v="50"/>
    <n v="50"/>
    <n v="0.75"/>
    <n v="1"/>
  </r>
  <r>
    <x v="143"/>
    <n v="15"/>
    <n v="7"/>
    <n v="2023"/>
    <s v="Saturday"/>
    <s v="July"/>
    <d v="2023-07-15T00:00:00"/>
    <x v="143"/>
    <x v="1"/>
    <x v="0"/>
    <x v="42"/>
    <x v="0"/>
    <n v="3"/>
    <n v="500"/>
    <n v="1500"/>
    <n v="22.5"/>
    <n v="30"/>
  </r>
  <r>
    <x v="144"/>
    <n v="2"/>
    <n v="11"/>
    <n v="2023"/>
    <s v="Thursday"/>
    <s v="November"/>
    <d v="2023-11-02T00:00:00"/>
    <x v="144"/>
    <x v="1"/>
    <x v="0"/>
    <x v="23"/>
    <x v="1"/>
    <n v="3"/>
    <n v="25"/>
    <n v="75"/>
    <n v="1.125"/>
    <n v="1.5"/>
  </r>
  <r>
    <x v="145"/>
    <n v="28"/>
    <n v="8"/>
    <n v="2023"/>
    <s v="Monday"/>
    <s v="August"/>
    <d v="2023-08-28T00:00:00"/>
    <x v="145"/>
    <x v="0"/>
    <x v="0"/>
    <x v="21"/>
    <x v="1"/>
    <n v="4"/>
    <n v="50"/>
    <n v="200"/>
    <n v="3"/>
    <n v="4"/>
  </r>
  <r>
    <x v="146"/>
    <n v="28"/>
    <n v="9"/>
    <n v="2023"/>
    <s v="Thursday"/>
    <s v="September"/>
    <d v="2023-09-28T00:00:00"/>
    <x v="146"/>
    <x v="0"/>
    <x v="1"/>
    <x v="9"/>
    <x v="2"/>
    <n v="1"/>
    <n v="300"/>
    <n v="300"/>
    <n v="4.5"/>
    <n v="6"/>
  </r>
  <r>
    <x v="147"/>
    <n v="9"/>
    <n v="5"/>
    <n v="2023"/>
    <s v="Tuesday"/>
    <s v="May"/>
    <d v="2023-05-09T00:00:00"/>
    <x v="147"/>
    <x v="0"/>
    <x v="1"/>
    <x v="18"/>
    <x v="1"/>
    <n v="2"/>
    <n v="30"/>
    <n v="60"/>
    <n v="0.89999999999999991"/>
    <n v="1.2"/>
  </r>
  <r>
    <x v="148"/>
    <n v="11"/>
    <n v="10"/>
    <n v="2023"/>
    <s v="Wednesday"/>
    <s v="October"/>
    <d v="2023-10-11T00:00:00"/>
    <x v="148"/>
    <x v="0"/>
    <x v="1"/>
    <x v="11"/>
    <x v="1"/>
    <n v="3"/>
    <n v="25"/>
    <n v="75"/>
    <n v="1.125"/>
    <n v="1.5"/>
  </r>
  <r>
    <x v="149"/>
    <n v="6"/>
    <n v="1"/>
    <n v="2023"/>
    <s v="Friday"/>
    <s v="January"/>
    <d v="2023-01-06T00:00:00"/>
    <x v="149"/>
    <x v="1"/>
    <x v="0"/>
    <x v="26"/>
    <x v="2"/>
    <n v="4"/>
    <n v="30"/>
    <n v="120"/>
    <n v="1.7999999999999998"/>
    <n v="2.4"/>
  </r>
  <r>
    <x v="150"/>
    <n v="15"/>
    <n v="12"/>
    <n v="2023"/>
    <s v="Friday"/>
    <s v="December"/>
    <d v="2023-12-15T00:00:00"/>
    <x v="150"/>
    <x v="0"/>
    <x v="1"/>
    <x v="38"/>
    <x v="1"/>
    <n v="1"/>
    <n v="50"/>
    <n v="50"/>
    <n v="0.75"/>
    <n v="1"/>
  </r>
  <r>
    <x v="151"/>
    <n v="28"/>
    <n v="2"/>
    <n v="2023"/>
    <s v="Tuesday"/>
    <s v="February"/>
    <d v="2023-02-28T00:00:00"/>
    <x v="151"/>
    <x v="0"/>
    <x v="0"/>
    <x v="22"/>
    <x v="2"/>
    <n v="4"/>
    <n v="500"/>
    <n v="2000"/>
    <n v="30"/>
    <n v="40"/>
  </r>
  <r>
    <x v="152"/>
    <n v="16"/>
    <n v="12"/>
    <n v="2023"/>
    <s v="Saturday"/>
    <s v="December"/>
    <d v="2023-12-16T00:00:00"/>
    <x v="152"/>
    <x v="0"/>
    <x v="0"/>
    <x v="7"/>
    <x v="2"/>
    <n v="2"/>
    <n v="500"/>
    <n v="1000"/>
    <n v="15"/>
    <n v="20"/>
  </r>
  <r>
    <x v="153"/>
    <n v="2"/>
    <n v="10"/>
    <n v="2023"/>
    <s v="Monday"/>
    <s v="October"/>
    <d v="2023-10-02T00:00:00"/>
    <x v="153"/>
    <x v="0"/>
    <x v="0"/>
    <x v="25"/>
    <x v="2"/>
    <n v="3"/>
    <n v="300"/>
    <n v="900"/>
    <n v="13.5"/>
    <n v="18"/>
  </r>
  <r>
    <x v="154"/>
    <n v="17"/>
    <n v="5"/>
    <n v="2023"/>
    <s v="Wednesday"/>
    <s v="May"/>
    <d v="2023-05-17T00:00:00"/>
    <x v="154"/>
    <x v="0"/>
    <x v="0"/>
    <x v="33"/>
    <x v="2"/>
    <n v="4"/>
    <n v="500"/>
    <n v="2000"/>
    <n v="30"/>
    <n v="40"/>
  </r>
  <r>
    <x v="155"/>
    <n v="25"/>
    <n v="11"/>
    <n v="2023"/>
    <s v="Saturday"/>
    <s v="November"/>
    <d v="2023-11-25T00:00:00"/>
    <x v="155"/>
    <x v="1"/>
    <x v="0"/>
    <x v="22"/>
    <x v="1"/>
    <n v="4"/>
    <n v="25"/>
    <n v="100"/>
    <n v="1.5"/>
    <n v="2"/>
  </r>
  <r>
    <x v="156"/>
    <n v="24"/>
    <n v="6"/>
    <n v="2023"/>
    <s v="Saturday"/>
    <s v="June"/>
    <d v="2023-06-24T00:00:00"/>
    <x v="156"/>
    <x v="0"/>
    <x v="0"/>
    <x v="17"/>
    <x v="2"/>
    <n v="4"/>
    <n v="500"/>
    <n v="2000"/>
    <n v="30"/>
    <n v="40"/>
  </r>
  <r>
    <x v="157"/>
    <n v="27"/>
    <n v="2"/>
    <n v="2023"/>
    <s v="Monday"/>
    <s v="February"/>
    <d v="2023-02-27T00:00:00"/>
    <x v="157"/>
    <x v="1"/>
    <x v="0"/>
    <x v="24"/>
    <x v="2"/>
    <n v="2"/>
    <n v="300"/>
    <n v="600"/>
    <n v="9"/>
    <n v="12"/>
  </r>
  <r>
    <x v="158"/>
    <n v="31"/>
    <n v="5"/>
    <n v="2023"/>
    <s v="Wednesday"/>
    <s v="May"/>
    <d v="2023-05-31T00:00:00"/>
    <x v="158"/>
    <x v="0"/>
    <x v="1"/>
    <x v="1"/>
    <x v="1"/>
    <n v="4"/>
    <n v="50"/>
    <n v="200"/>
    <n v="3"/>
    <n v="4"/>
  </r>
  <r>
    <x v="159"/>
    <n v="11"/>
    <n v="8"/>
    <n v="2023"/>
    <s v="Friday"/>
    <s v="August"/>
    <d v="2023-08-11T00:00:00"/>
    <x v="159"/>
    <x v="1"/>
    <x v="0"/>
    <x v="22"/>
    <x v="1"/>
    <n v="2"/>
    <n v="50"/>
    <n v="100"/>
    <n v="1.5"/>
    <n v="2"/>
  </r>
  <r>
    <x v="160"/>
    <n v="22"/>
    <n v="3"/>
    <n v="2023"/>
    <s v="Wednesday"/>
    <s v="March"/>
    <d v="2023-03-22T00:00:00"/>
    <x v="160"/>
    <x v="0"/>
    <x v="0"/>
    <x v="12"/>
    <x v="0"/>
    <n v="2"/>
    <n v="500"/>
    <n v="1000"/>
    <n v="15"/>
    <n v="20"/>
  </r>
  <r>
    <x v="161"/>
    <n v="21"/>
    <n v="8"/>
    <n v="2023"/>
    <s v="Monday"/>
    <s v="August"/>
    <d v="2023-08-21T00:00:00"/>
    <x v="161"/>
    <x v="0"/>
    <x v="0"/>
    <x v="23"/>
    <x v="1"/>
    <n v="2"/>
    <n v="30"/>
    <n v="60"/>
    <n v="0.89999999999999991"/>
    <n v="1.2"/>
  </r>
  <r>
    <x v="162"/>
    <n v="2"/>
    <n v="1"/>
    <n v="2023"/>
    <s v="Monday"/>
    <s v="January"/>
    <d v="2023-01-02T00:00:00"/>
    <x v="162"/>
    <x v="1"/>
    <x v="0"/>
    <x v="12"/>
    <x v="1"/>
    <n v="3"/>
    <n v="50"/>
    <n v="150"/>
    <n v="2.25"/>
    <n v="3"/>
  </r>
  <r>
    <x v="163"/>
    <n v="15"/>
    <n v="5"/>
    <n v="2023"/>
    <s v="Monday"/>
    <s v="May"/>
    <d v="2023-05-15T00:00:00"/>
    <x v="163"/>
    <x v="1"/>
    <x v="0"/>
    <x v="16"/>
    <x v="0"/>
    <n v="3"/>
    <n v="500"/>
    <n v="1500"/>
    <n v="22.5"/>
    <n v="30"/>
  </r>
  <r>
    <x v="164"/>
    <n v="14"/>
    <n v="9"/>
    <n v="2023"/>
    <s v="Thursday"/>
    <s v="September"/>
    <d v="2023-09-14T00:00:00"/>
    <x v="164"/>
    <x v="1"/>
    <x v="0"/>
    <x v="43"/>
    <x v="1"/>
    <n v="4"/>
    <n v="300"/>
    <n v="1200"/>
    <n v="18"/>
    <n v="24"/>
  </r>
  <r>
    <x v="165"/>
    <n v="2"/>
    <n v="4"/>
    <n v="2023"/>
    <s v="Sunday"/>
    <s v="April"/>
    <d v="2023-04-02T00:00:00"/>
    <x v="165"/>
    <x v="0"/>
    <x v="0"/>
    <x v="0"/>
    <x v="1"/>
    <n v="4"/>
    <n v="500"/>
    <n v="2000"/>
    <n v="30"/>
    <n v="40"/>
  </r>
  <r>
    <x v="166"/>
    <n v="17"/>
    <n v="9"/>
    <n v="2023"/>
    <s v="Sunday"/>
    <s v="September"/>
    <d v="2023-09-17T00:00:00"/>
    <x v="166"/>
    <x v="1"/>
    <x v="0"/>
    <x v="22"/>
    <x v="1"/>
    <n v="3"/>
    <n v="50"/>
    <n v="150"/>
    <n v="2.25"/>
    <n v="3"/>
  </r>
  <r>
    <x v="167"/>
    <n v="24"/>
    <n v="2"/>
    <n v="2023"/>
    <s v="Friday"/>
    <s v="February"/>
    <d v="2023-02-24T00:00:00"/>
    <x v="167"/>
    <x v="0"/>
    <x v="0"/>
    <x v="45"/>
    <x v="1"/>
    <n v="1"/>
    <n v="300"/>
    <n v="300"/>
    <n v="4.5"/>
    <n v="6"/>
  </r>
  <r>
    <x v="168"/>
    <n v="17"/>
    <n v="11"/>
    <n v="2023"/>
    <s v="Friday"/>
    <s v="November"/>
    <d v="2023-11-17T00:00:00"/>
    <x v="168"/>
    <x v="0"/>
    <x v="1"/>
    <x v="18"/>
    <x v="0"/>
    <n v="3"/>
    <n v="500"/>
    <n v="1500"/>
    <n v="22.5"/>
    <n v="30"/>
  </r>
  <r>
    <x v="169"/>
    <n v="2"/>
    <n v="6"/>
    <n v="2023"/>
    <s v="Friday"/>
    <s v="June"/>
    <d v="2023-06-02T00:00:00"/>
    <x v="169"/>
    <x v="1"/>
    <x v="1"/>
    <x v="36"/>
    <x v="1"/>
    <n v="2"/>
    <n v="25"/>
    <n v="50"/>
    <n v="0.75"/>
    <n v="1"/>
  </r>
  <r>
    <x v="170"/>
    <n v="24"/>
    <n v="11"/>
    <n v="2023"/>
    <s v="Friday"/>
    <s v="November"/>
    <d v="2023-11-24T00:00:00"/>
    <x v="170"/>
    <x v="1"/>
    <x v="0"/>
    <x v="8"/>
    <x v="1"/>
    <n v="3"/>
    <n v="300"/>
    <n v="900"/>
    <n v="13.5"/>
    <n v="18"/>
  </r>
  <r>
    <x v="171"/>
    <n v="17"/>
    <n v="9"/>
    <n v="2023"/>
    <s v="Sunday"/>
    <s v="September"/>
    <d v="2023-09-17T00:00:00"/>
    <x v="171"/>
    <x v="0"/>
    <x v="0"/>
    <x v="40"/>
    <x v="0"/>
    <n v="2"/>
    <n v="25"/>
    <n v="50"/>
    <n v="0.75"/>
    <n v="1"/>
  </r>
  <r>
    <x v="172"/>
    <n v="8"/>
    <n v="11"/>
    <n v="2023"/>
    <s v="Wednesday"/>
    <s v="November"/>
    <d v="2023-11-08T00:00:00"/>
    <x v="172"/>
    <x v="0"/>
    <x v="0"/>
    <x v="12"/>
    <x v="2"/>
    <n v="4"/>
    <n v="30"/>
    <n v="120"/>
    <n v="1.7999999999999998"/>
    <n v="2.4"/>
  </r>
  <r>
    <x v="173"/>
    <n v="12"/>
    <n v="4"/>
    <n v="2023"/>
    <s v="Wednesday"/>
    <s v="April"/>
    <d v="2023-04-12T00:00:00"/>
    <x v="173"/>
    <x v="1"/>
    <x v="0"/>
    <x v="23"/>
    <x v="0"/>
    <n v="1"/>
    <n v="300"/>
    <n v="300"/>
    <n v="4.5"/>
    <n v="6"/>
  </r>
  <r>
    <x v="174"/>
    <n v="20"/>
    <n v="3"/>
    <n v="2023"/>
    <s v="Monday"/>
    <s v="March"/>
    <d v="2023-03-20T00:00:00"/>
    <x v="174"/>
    <x v="1"/>
    <x v="0"/>
    <x v="33"/>
    <x v="2"/>
    <n v="4"/>
    <n v="25"/>
    <n v="100"/>
    <n v="1.5"/>
    <n v="2"/>
  </r>
  <r>
    <x v="175"/>
    <n v="11"/>
    <n v="7"/>
    <n v="2023"/>
    <s v="Tuesday"/>
    <s v="July"/>
    <d v="2023-07-11T00:00:00"/>
    <x v="175"/>
    <x v="1"/>
    <x v="0"/>
    <x v="22"/>
    <x v="0"/>
    <n v="2"/>
    <n v="50"/>
    <n v="100"/>
    <n v="1.5"/>
    <n v="2"/>
  </r>
  <r>
    <x v="176"/>
    <n v="24"/>
    <n v="3"/>
    <n v="2023"/>
    <s v="Friday"/>
    <s v="March"/>
    <d v="2023-03-24T00:00:00"/>
    <x v="176"/>
    <x v="0"/>
    <x v="0"/>
    <x v="5"/>
    <x v="0"/>
    <n v="2"/>
    <n v="50"/>
    <n v="100"/>
    <n v="1.5"/>
    <n v="2"/>
  </r>
  <r>
    <x v="177"/>
    <n v="4"/>
    <n v="10"/>
    <n v="2023"/>
    <s v="Wednesday"/>
    <s v="October"/>
    <d v="2023-10-04T00:00:00"/>
    <x v="177"/>
    <x v="0"/>
    <x v="0"/>
    <x v="30"/>
    <x v="1"/>
    <n v="2"/>
    <n v="30"/>
    <n v="60"/>
    <n v="0.89999999999999991"/>
    <n v="1.2"/>
  </r>
  <r>
    <x v="178"/>
    <n v="29"/>
    <n v="9"/>
    <n v="2023"/>
    <s v="Friday"/>
    <s v="September"/>
    <d v="2023-09-29T00:00:00"/>
    <x v="178"/>
    <x v="0"/>
    <x v="0"/>
    <x v="33"/>
    <x v="2"/>
    <n v="1"/>
    <n v="300"/>
    <n v="300"/>
    <n v="4.5"/>
    <n v="6"/>
  </r>
  <r>
    <x v="179"/>
    <n v="1"/>
    <n v="1"/>
    <n v="2023"/>
    <s v="Sunday"/>
    <s v="January"/>
    <d v="2023-01-01T00:00:00"/>
    <x v="179"/>
    <x v="0"/>
    <x v="0"/>
    <x v="41"/>
    <x v="1"/>
    <n v="3"/>
    <n v="300"/>
    <n v="900"/>
    <n v="13.5"/>
    <n v="18"/>
  </r>
  <r>
    <x v="180"/>
    <n v="3"/>
    <n v="11"/>
    <n v="2023"/>
    <s v="Friday"/>
    <s v="November"/>
    <d v="2023-11-03T00:00:00"/>
    <x v="180"/>
    <x v="0"/>
    <x v="1"/>
    <x v="14"/>
    <x v="2"/>
    <n v="4"/>
    <n v="300"/>
    <n v="1200"/>
    <n v="18"/>
    <n v="24"/>
  </r>
  <r>
    <x v="181"/>
    <n v="15"/>
    <n v="6"/>
    <n v="2023"/>
    <s v="Thursday"/>
    <s v="June"/>
    <d v="2023-06-15T00:00:00"/>
    <x v="181"/>
    <x v="0"/>
    <x v="0"/>
    <x v="17"/>
    <x v="0"/>
    <n v="4"/>
    <n v="30"/>
    <n v="120"/>
    <n v="1.7999999999999998"/>
    <n v="2.4"/>
  </r>
  <r>
    <x v="182"/>
    <n v="8"/>
    <n v="9"/>
    <n v="2023"/>
    <s v="Friday"/>
    <s v="September"/>
    <d v="2023-09-08T00:00:00"/>
    <x v="182"/>
    <x v="1"/>
    <x v="0"/>
    <x v="22"/>
    <x v="0"/>
    <n v="3"/>
    <n v="300"/>
    <n v="900"/>
    <n v="13.5"/>
    <n v="18"/>
  </r>
  <r>
    <x v="183"/>
    <n v="10"/>
    <n v="1"/>
    <n v="2023"/>
    <s v="Tuesday"/>
    <s v="January"/>
    <d v="2023-01-10T00:00:00"/>
    <x v="183"/>
    <x v="0"/>
    <x v="0"/>
    <x v="33"/>
    <x v="2"/>
    <n v="4"/>
    <n v="50"/>
    <n v="200"/>
    <n v="3"/>
    <n v="4"/>
  </r>
  <r>
    <x v="184"/>
    <n v="27"/>
    <n v="2"/>
    <n v="2023"/>
    <s v="Monday"/>
    <s v="February"/>
    <d v="2023-02-27T00:00:00"/>
    <x v="184"/>
    <x v="0"/>
    <x v="1"/>
    <x v="46"/>
    <x v="1"/>
    <n v="1"/>
    <n v="25"/>
    <n v="25"/>
    <n v="0.375"/>
    <n v="0.5"/>
  </r>
  <r>
    <x v="185"/>
    <n v="5"/>
    <n v="7"/>
    <n v="2023"/>
    <s v="Wednesday"/>
    <s v="July"/>
    <d v="2023-07-05T00:00:00"/>
    <x v="185"/>
    <x v="0"/>
    <x v="1"/>
    <x v="29"/>
    <x v="1"/>
    <n v="4"/>
    <n v="50"/>
    <n v="200"/>
    <n v="3"/>
    <n v="4"/>
  </r>
  <r>
    <x v="186"/>
    <n v="7"/>
    <n v="6"/>
    <n v="2023"/>
    <s v="Wednesday"/>
    <s v="June"/>
    <d v="2023-06-07T00:00:00"/>
    <x v="186"/>
    <x v="1"/>
    <x v="0"/>
    <x v="12"/>
    <x v="1"/>
    <n v="2"/>
    <n v="50"/>
    <n v="100"/>
    <n v="1.5"/>
    <n v="2"/>
  </r>
  <r>
    <x v="187"/>
    <n v="3"/>
    <n v="5"/>
    <n v="2023"/>
    <s v="Wednesday"/>
    <s v="May"/>
    <d v="2023-05-03T00:00:00"/>
    <x v="187"/>
    <x v="0"/>
    <x v="0"/>
    <x v="30"/>
    <x v="1"/>
    <n v="3"/>
    <n v="25"/>
    <n v="75"/>
    <n v="1.125"/>
    <n v="1.5"/>
  </r>
  <r>
    <x v="188"/>
    <n v="30"/>
    <n v="1"/>
    <n v="2023"/>
    <s v="Monday"/>
    <s v="January"/>
    <d v="2023-01-30T00:00:00"/>
    <x v="188"/>
    <x v="0"/>
    <x v="0"/>
    <x v="7"/>
    <x v="0"/>
    <n v="1"/>
    <n v="50"/>
    <n v="50"/>
    <n v="0.75"/>
    <n v="1"/>
  </r>
  <r>
    <x v="189"/>
    <n v="4"/>
    <n v="5"/>
    <n v="2023"/>
    <s v="Thursday"/>
    <s v="May"/>
    <d v="2023-05-04T00:00:00"/>
    <x v="189"/>
    <x v="1"/>
    <x v="0"/>
    <x v="43"/>
    <x v="0"/>
    <n v="3"/>
    <n v="30"/>
    <n v="90"/>
    <n v="1.3499999999999999"/>
    <n v="1.8"/>
  </r>
  <r>
    <x v="190"/>
    <n v="18"/>
    <n v="10"/>
    <n v="2023"/>
    <s v="Wednesday"/>
    <s v="October"/>
    <d v="2023-10-18T00:00:00"/>
    <x v="190"/>
    <x v="0"/>
    <x v="0"/>
    <x v="12"/>
    <x v="0"/>
    <n v="1"/>
    <n v="25"/>
    <n v="25"/>
    <n v="0.375"/>
    <n v="0.5"/>
  </r>
  <r>
    <x v="191"/>
    <n v="10"/>
    <n v="2"/>
    <n v="2023"/>
    <s v="Friday"/>
    <s v="February"/>
    <d v="2023-02-10T00:00:00"/>
    <x v="191"/>
    <x v="0"/>
    <x v="0"/>
    <x v="17"/>
    <x v="0"/>
    <n v="2"/>
    <n v="50"/>
    <n v="100"/>
    <n v="1.5"/>
    <n v="2"/>
  </r>
  <r>
    <x v="192"/>
    <n v="13"/>
    <n v="2"/>
    <n v="2023"/>
    <s v="Monday"/>
    <s v="February"/>
    <d v="2023-02-13T00:00:00"/>
    <x v="192"/>
    <x v="0"/>
    <x v="0"/>
    <x v="10"/>
    <x v="0"/>
    <n v="3"/>
    <n v="500"/>
    <n v="1500"/>
    <n v="22.5"/>
    <n v="30"/>
  </r>
  <r>
    <x v="193"/>
    <n v="6"/>
    <n v="9"/>
    <n v="2023"/>
    <s v="Wednesday"/>
    <s v="September"/>
    <d v="2023-09-06T00:00:00"/>
    <x v="193"/>
    <x v="0"/>
    <x v="0"/>
    <x v="28"/>
    <x v="1"/>
    <n v="4"/>
    <n v="50"/>
    <n v="200"/>
    <n v="3"/>
    <n v="4"/>
  </r>
  <r>
    <x v="194"/>
    <n v="5"/>
    <n v="2"/>
    <n v="2023"/>
    <s v="Sunday"/>
    <s v="February"/>
    <d v="2023-02-05T00:00:00"/>
    <x v="194"/>
    <x v="0"/>
    <x v="0"/>
    <x v="8"/>
    <x v="1"/>
    <n v="1"/>
    <n v="30"/>
    <n v="30"/>
    <n v="0.44999999999999996"/>
    <n v="0.6"/>
  </r>
  <r>
    <x v="195"/>
    <n v="30"/>
    <n v="9"/>
    <n v="2023"/>
    <s v="Saturday"/>
    <s v="September"/>
    <d v="2023-09-30T00:00:00"/>
    <x v="195"/>
    <x v="1"/>
    <x v="0"/>
    <x v="40"/>
    <x v="1"/>
    <n v="3"/>
    <n v="300"/>
    <n v="900"/>
    <n v="13.5"/>
    <n v="18"/>
  </r>
  <r>
    <x v="196"/>
    <n v="6"/>
    <n v="3"/>
    <n v="2023"/>
    <s v="Monday"/>
    <s v="March"/>
    <d v="2023-03-06T00:00:00"/>
    <x v="196"/>
    <x v="1"/>
    <x v="0"/>
    <x v="13"/>
    <x v="1"/>
    <n v="4"/>
    <n v="50"/>
    <n v="200"/>
    <n v="3"/>
    <n v="4"/>
  </r>
  <r>
    <x v="197"/>
    <n v="7"/>
    <n v="3"/>
    <n v="2023"/>
    <s v="Tuesday"/>
    <s v="March"/>
    <d v="2023-03-07T00:00:00"/>
    <x v="197"/>
    <x v="1"/>
    <x v="0"/>
    <x v="31"/>
    <x v="0"/>
    <n v="3"/>
    <n v="300"/>
    <n v="900"/>
    <n v="13.5"/>
    <n v="18"/>
  </r>
  <r>
    <x v="198"/>
    <n v="4"/>
    <n v="12"/>
    <n v="2023"/>
    <s v="Monday"/>
    <s v="December"/>
    <d v="2023-12-04T00:00:00"/>
    <x v="198"/>
    <x v="0"/>
    <x v="0"/>
    <x v="5"/>
    <x v="0"/>
    <n v="3"/>
    <n v="500"/>
    <n v="1500"/>
    <n v="22.5"/>
    <n v="30"/>
  </r>
  <r>
    <x v="199"/>
    <n v="1"/>
    <n v="9"/>
    <n v="2023"/>
    <s v="Friday"/>
    <s v="September"/>
    <d v="2023-09-01T00:00:00"/>
    <x v="199"/>
    <x v="0"/>
    <x v="1"/>
    <x v="15"/>
    <x v="0"/>
    <n v="3"/>
    <n v="50"/>
    <n v="150"/>
    <n v="2.25"/>
    <n v="3"/>
  </r>
  <r>
    <x v="200"/>
    <n v="9"/>
    <n v="10"/>
    <n v="2023"/>
    <s v="Monday"/>
    <s v="October"/>
    <d v="2023-10-09T00:00:00"/>
    <x v="200"/>
    <x v="0"/>
    <x v="0"/>
    <x v="37"/>
    <x v="2"/>
    <n v="1"/>
    <n v="25"/>
    <n v="25"/>
    <n v="0.375"/>
    <n v="0.5"/>
  </r>
  <r>
    <x v="201"/>
    <n v="26"/>
    <n v="3"/>
    <n v="2023"/>
    <s v="Sunday"/>
    <s v="March"/>
    <d v="2023-03-26T00:00:00"/>
    <x v="201"/>
    <x v="1"/>
    <x v="0"/>
    <x v="0"/>
    <x v="1"/>
    <n v="4"/>
    <n v="300"/>
    <n v="1200"/>
    <n v="18"/>
    <n v="24"/>
  </r>
  <r>
    <x v="202"/>
    <n v="16"/>
    <n v="5"/>
    <n v="2023"/>
    <s v="Tuesday"/>
    <s v="May"/>
    <d v="2023-05-16T00:00:00"/>
    <x v="202"/>
    <x v="0"/>
    <x v="0"/>
    <x v="37"/>
    <x v="1"/>
    <n v="2"/>
    <n v="500"/>
    <n v="1000"/>
    <n v="15"/>
    <n v="20"/>
  </r>
  <r>
    <x v="203"/>
    <n v="28"/>
    <n v="9"/>
    <n v="2023"/>
    <s v="Thursday"/>
    <s v="September"/>
    <d v="2023-09-28T00:00:00"/>
    <x v="203"/>
    <x v="0"/>
    <x v="0"/>
    <x v="23"/>
    <x v="0"/>
    <n v="1"/>
    <n v="25"/>
    <n v="25"/>
    <n v="0.375"/>
    <n v="0.5"/>
  </r>
  <r>
    <x v="204"/>
    <n v="7"/>
    <n v="11"/>
    <n v="2023"/>
    <s v="Tuesday"/>
    <s v="November"/>
    <d v="2023-11-07T00:00:00"/>
    <x v="204"/>
    <x v="1"/>
    <x v="0"/>
    <x v="22"/>
    <x v="1"/>
    <n v="1"/>
    <n v="25"/>
    <n v="25"/>
    <n v="0.375"/>
    <n v="0.5"/>
  </r>
  <r>
    <x v="205"/>
    <n v="5"/>
    <n v="8"/>
    <n v="2023"/>
    <s v="Saturday"/>
    <s v="August"/>
    <d v="2023-08-05T00:00:00"/>
    <x v="205"/>
    <x v="0"/>
    <x v="0"/>
    <x v="39"/>
    <x v="1"/>
    <n v="1"/>
    <n v="25"/>
    <n v="25"/>
    <n v="0.375"/>
    <n v="0.5"/>
  </r>
  <r>
    <x v="206"/>
    <n v="19"/>
    <n v="4"/>
    <n v="2023"/>
    <s v="Wednesday"/>
    <s v="April"/>
    <d v="2023-04-19T00:00:00"/>
    <x v="206"/>
    <x v="1"/>
    <x v="0"/>
    <x v="13"/>
    <x v="0"/>
    <n v="2"/>
    <n v="25"/>
    <n v="50"/>
    <n v="0.75"/>
    <n v="1"/>
  </r>
  <r>
    <x v="207"/>
    <n v="4"/>
    <n v="10"/>
    <n v="2023"/>
    <s v="Wednesday"/>
    <s v="October"/>
    <d v="2023-10-04T00:00:00"/>
    <x v="207"/>
    <x v="1"/>
    <x v="0"/>
    <x v="0"/>
    <x v="2"/>
    <n v="4"/>
    <n v="50"/>
    <n v="200"/>
    <n v="3"/>
    <n v="4"/>
  </r>
  <r>
    <x v="208"/>
    <n v="20"/>
    <n v="12"/>
    <n v="2023"/>
    <s v="Wednesday"/>
    <s v="December"/>
    <d v="2023-12-20T00:00:00"/>
    <x v="208"/>
    <x v="1"/>
    <x v="0"/>
    <x v="4"/>
    <x v="2"/>
    <n v="4"/>
    <n v="50"/>
    <n v="200"/>
    <n v="3"/>
    <n v="4"/>
  </r>
  <r>
    <x v="209"/>
    <n v="13"/>
    <n v="4"/>
    <n v="2023"/>
    <s v="Thursday"/>
    <s v="April"/>
    <d v="2023-04-13T00:00:00"/>
    <x v="209"/>
    <x v="0"/>
    <x v="0"/>
    <x v="3"/>
    <x v="2"/>
    <n v="4"/>
    <n v="50"/>
    <n v="200"/>
    <n v="3"/>
    <n v="4"/>
  </r>
  <r>
    <x v="210"/>
    <n v="1"/>
    <n v="1"/>
    <n v="2024"/>
    <s v="Monday"/>
    <s v="January"/>
    <d v="2024-01-01T00:00:00"/>
    <x v="210"/>
    <x v="0"/>
    <x v="0"/>
    <x v="13"/>
    <x v="0"/>
    <n v="3"/>
    <n v="500"/>
    <n v="1500"/>
    <n v="22.5"/>
    <n v="30"/>
  </r>
  <r>
    <x v="211"/>
    <n v="9"/>
    <n v="6"/>
    <n v="2023"/>
    <s v="Friday"/>
    <s v="June"/>
    <d v="2023-06-09T00:00:00"/>
    <x v="211"/>
    <x v="0"/>
    <x v="1"/>
    <x v="34"/>
    <x v="1"/>
    <n v="3"/>
    <n v="500"/>
    <n v="1500"/>
    <n v="22.5"/>
    <n v="30"/>
  </r>
  <r>
    <x v="212"/>
    <n v="24"/>
    <n v="7"/>
    <n v="2023"/>
    <s v="Monday"/>
    <s v="July"/>
    <d v="2023-07-24T00:00:00"/>
    <x v="212"/>
    <x v="0"/>
    <x v="1"/>
    <x v="15"/>
    <x v="0"/>
    <n v="3"/>
    <n v="500"/>
    <n v="1500"/>
    <n v="22.5"/>
    <n v="30"/>
  </r>
  <r>
    <x v="213"/>
    <n v="10"/>
    <n v="12"/>
    <n v="2023"/>
    <s v="Sunday"/>
    <s v="December"/>
    <d v="2023-12-10T00:00:00"/>
    <x v="213"/>
    <x v="0"/>
    <x v="1"/>
    <x v="29"/>
    <x v="0"/>
    <n v="2"/>
    <n v="30"/>
    <n v="60"/>
    <n v="0.89999999999999991"/>
    <n v="1.2"/>
  </r>
  <r>
    <x v="214"/>
    <n v="29"/>
    <n v="11"/>
    <n v="2023"/>
    <s v="Wednesday"/>
    <s v="November"/>
    <d v="2023-11-29T00:00:00"/>
    <x v="214"/>
    <x v="0"/>
    <x v="0"/>
    <x v="26"/>
    <x v="1"/>
    <n v="3"/>
    <n v="500"/>
    <n v="1500"/>
    <n v="22.5"/>
    <n v="30"/>
  </r>
  <r>
    <x v="215"/>
    <n v="11"/>
    <n v="7"/>
    <n v="2023"/>
    <s v="Tuesday"/>
    <s v="July"/>
    <d v="2023-07-11T00:00:00"/>
    <x v="215"/>
    <x v="0"/>
    <x v="0"/>
    <x v="17"/>
    <x v="2"/>
    <n v="2"/>
    <n v="50"/>
    <n v="100"/>
    <n v="1.5"/>
    <n v="2"/>
  </r>
  <r>
    <x v="216"/>
    <n v="13"/>
    <n v="8"/>
    <n v="2023"/>
    <s v="Sunday"/>
    <s v="August"/>
    <d v="2023-08-13T00:00:00"/>
    <x v="216"/>
    <x v="1"/>
    <x v="0"/>
    <x v="10"/>
    <x v="2"/>
    <n v="4"/>
    <n v="50"/>
    <n v="200"/>
    <n v="3"/>
    <n v="4"/>
  </r>
  <r>
    <x v="217"/>
    <n v="22"/>
    <n v="9"/>
    <n v="2023"/>
    <s v="Friday"/>
    <s v="September"/>
    <d v="2023-09-22T00:00:00"/>
    <x v="217"/>
    <x v="0"/>
    <x v="0"/>
    <x v="12"/>
    <x v="0"/>
    <n v="3"/>
    <n v="30"/>
    <n v="90"/>
    <n v="1.3499999999999999"/>
    <n v="1.8"/>
  </r>
  <r>
    <x v="218"/>
    <n v="20"/>
    <n v="8"/>
    <n v="2023"/>
    <s v="Sunday"/>
    <s v="August"/>
    <d v="2023-08-20T00:00:00"/>
    <x v="218"/>
    <x v="1"/>
    <x v="0"/>
    <x v="45"/>
    <x v="2"/>
    <n v="3"/>
    <n v="30"/>
    <n v="90"/>
    <n v="1.3499999999999999"/>
    <n v="1.8"/>
  </r>
  <r>
    <x v="219"/>
    <n v="3"/>
    <n v="3"/>
    <n v="2023"/>
    <s v="Friday"/>
    <s v="March"/>
    <d v="2023-03-03T00:00:00"/>
    <x v="219"/>
    <x v="0"/>
    <x v="0"/>
    <x v="12"/>
    <x v="0"/>
    <n v="1"/>
    <n v="500"/>
    <n v="500"/>
    <n v="7.5"/>
    <n v="10"/>
  </r>
  <r>
    <x v="220"/>
    <n v="7"/>
    <n v="5"/>
    <n v="2023"/>
    <s v="Sunday"/>
    <s v="May"/>
    <d v="2023-05-07T00:00:00"/>
    <x v="220"/>
    <x v="0"/>
    <x v="0"/>
    <x v="23"/>
    <x v="0"/>
    <n v="2"/>
    <n v="300"/>
    <n v="600"/>
    <n v="9"/>
    <n v="12"/>
  </r>
  <r>
    <x v="221"/>
    <n v="26"/>
    <n v="4"/>
    <n v="2023"/>
    <s v="Wednesday"/>
    <s v="April"/>
    <d v="2023-04-26T00:00:00"/>
    <x v="221"/>
    <x v="0"/>
    <x v="0"/>
    <x v="25"/>
    <x v="1"/>
    <n v="4"/>
    <n v="30"/>
    <n v="120"/>
    <n v="1.7999999999999998"/>
    <n v="2.4"/>
  </r>
  <r>
    <x v="222"/>
    <n v="2"/>
    <n v="2"/>
    <n v="2023"/>
    <s v="Thursday"/>
    <s v="February"/>
    <d v="2023-02-02T00:00:00"/>
    <x v="222"/>
    <x v="1"/>
    <x v="0"/>
    <x v="12"/>
    <x v="1"/>
    <n v="1"/>
    <n v="25"/>
    <n v="25"/>
    <n v="0.375"/>
    <n v="0.5"/>
  </r>
  <r>
    <x v="223"/>
    <n v="23"/>
    <n v="6"/>
    <n v="2023"/>
    <s v="Friday"/>
    <s v="June"/>
    <d v="2023-06-23T00:00:00"/>
    <x v="223"/>
    <x v="1"/>
    <x v="1"/>
    <x v="36"/>
    <x v="1"/>
    <n v="1"/>
    <n v="50"/>
    <n v="50"/>
    <n v="0.75"/>
    <n v="1"/>
  </r>
  <r>
    <x v="224"/>
    <n v="11"/>
    <n v="1"/>
    <n v="2023"/>
    <s v="Wednesday"/>
    <s v="January"/>
    <d v="2023-01-11T00:00:00"/>
    <x v="224"/>
    <x v="1"/>
    <x v="0"/>
    <x v="35"/>
    <x v="0"/>
    <n v="4"/>
    <n v="25"/>
    <n v="100"/>
    <n v="1.5"/>
    <n v="2"/>
  </r>
  <r>
    <x v="225"/>
    <n v="29"/>
    <n v="10"/>
    <n v="2023"/>
    <s v="Sunday"/>
    <s v="October"/>
    <d v="2023-10-29T00:00:00"/>
    <x v="225"/>
    <x v="1"/>
    <x v="0"/>
    <x v="39"/>
    <x v="1"/>
    <n v="1"/>
    <n v="50"/>
    <n v="50"/>
    <n v="0.75"/>
    <n v="1"/>
  </r>
  <r>
    <x v="226"/>
    <n v="11"/>
    <n v="10"/>
    <n v="2023"/>
    <s v="Wednesday"/>
    <s v="October"/>
    <d v="2023-10-11T00:00:00"/>
    <x v="226"/>
    <x v="0"/>
    <x v="0"/>
    <x v="32"/>
    <x v="2"/>
    <n v="2"/>
    <n v="50"/>
    <n v="100"/>
    <n v="1.5"/>
    <n v="2"/>
  </r>
  <r>
    <x v="227"/>
    <n v="28"/>
    <n v="4"/>
    <n v="2023"/>
    <s v="Friday"/>
    <s v="April"/>
    <d v="2023-04-28T00:00:00"/>
    <x v="227"/>
    <x v="1"/>
    <x v="0"/>
    <x v="42"/>
    <x v="2"/>
    <n v="2"/>
    <n v="30"/>
    <n v="60"/>
    <n v="0.89999999999999991"/>
    <n v="1.2"/>
  </r>
  <r>
    <x v="228"/>
    <n v="29"/>
    <n v="10"/>
    <n v="2023"/>
    <s v="Sunday"/>
    <s v="October"/>
    <d v="2023-10-29T00:00:00"/>
    <x v="228"/>
    <x v="0"/>
    <x v="0"/>
    <x v="26"/>
    <x v="0"/>
    <n v="3"/>
    <n v="30"/>
    <n v="90"/>
    <n v="1.3499999999999999"/>
    <n v="1.8"/>
  </r>
  <r>
    <x v="229"/>
    <n v="23"/>
    <n v="4"/>
    <n v="2023"/>
    <s v="Sunday"/>
    <s v="April"/>
    <d v="2023-04-23T00:00:00"/>
    <x v="229"/>
    <x v="0"/>
    <x v="0"/>
    <x v="31"/>
    <x v="0"/>
    <n v="1"/>
    <n v="25"/>
    <n v="25"/>
    <n v="0.375"/>
    <n v="0.5"/>
  </r>
  <r>
    <x v="230"/>
    <n v="4"/>
    <n v="1"/>
    <n v="2023"/>
    <s v="Wednesday"/>
    <s v="January"/>
    <d v="2023-01-04T00:00:00"/>
    <x v="230"/>
    <x v="1"/>
    <x v="1"/>
    <x v="9"/>
    <x v="1"/>
    <n v="3"/>
    <n v="50"/>
    <n v="150"/>
    <n v="2.25"/>
    <n v="3"/>
  </r>
  <r>
    <x v="231"/>
    <n v="6"/>
    <n v="2"/>
    <n v="2023"/>
    <s v="Monday"/>
    <s v="February"/>
    <d v="2023-02-06T00:00:00"/>
    <x v="231"/>
    <x v="1"/>
    <x v="0"/>
    <x v="22"/>
    <x v="0"/>
    <n v="1"/>
    <n v="25"/>
    <n v="25"/>
    <n v="0.375"/>
    <n v="0.5"/>
  </r>
  <r>
    <x v="232"/>
    <n v="29"/>
    <n v="12"/>
    <n v="2023"/>
    <s v="Friday"/>
    <s v="December"/>
    <d v="2023-12-29T00:00:00"/>
    <x v="232"/>
    <x v="1"/>
    <x v="0"/>
    <x v="25"/>
    <x v="0"/>
    <n v="2"/>
    <n v="300"/>
    <n v="600"/>
    <n v="9"/>
    <n v="12"/>
  </r>
  <r>
    <x v="233"/>
    <n v="20"/>
    <n v="11"/>
    <n v="2023"/>
    <s v="Monday"/>
    <s v="November"/>
    <d v="2023-11-20T00:00:00"/>
    <x v="233"/>
    <x v="1"/>
    <x v="0"/>
    <x v="17"/>
    <x v="2"/>
    <n v="2"/>
    <n v="25"/>
    <n v="50"/>
    <n v="0.75"/>
    <n v="1"/>
  </r>
  <r>
    <x v="234"/>
    <n v="31"/>
    <n v="1"/>
    <n v="2023"/>
    <s v="Tuesday"/>
    <s v="January"/>
    <d v="2023-01-31T00:00:00"/>
    <x v="234"/>
    <x v="1"/>
    <x v="1"/>
    <x v="9"/>
    <x v="2"/>
    <n v="2"/>
    <n v="500"/>
    <n v="1000"/>
    <n v="15"/>
    <n v="20"/>
  </r>
  <r>
    <x v="235"/>
    <n v="28"/>
    <n v="4"/>
    <n v="2023"/>
    <s v="Friday"/>
    <s v="April"/>
    <d v="2023-04-28T00:00:00"/>
    <x v="235"/>
    <x v="1"/>
    <x v="0"/>
    <x v="31"/>
    <x v="1"/>
    <n v="1"/>
    <n v="25"/>
    <n v="25"/>
    <n v="0.375"/>
    <n v="0.5"/>
  </r>
  <r>
    <x v="236"/>
    <n v="4"/>
    <n v="2"/>
    <n v="2023"/>
    <s v="Saturday"/>
    <s v="February"/>
    <d v="2023-02-04T00:00:00"/>
    <x v="236"/>
    <x v="1"/>
    <x v="0"/>
    <x v="2"/>
    <x v="0"/>
    <n v="2"/>
    <n v="500"/>
    <n v="1000"/>
    <n v="15"/>
    <n v="20"/>
  </r>
  <r>
    <x v="237"/>
    <n v="17"/>
    <n v="1"/>
    <n v="2023"/>
    <s v="Tuesday"/>
    <s v="January"/>
    <d v="2023-01-17T00:00:00"/>
    <x v="237"/>
    <x v="1"/>
    <x v="0"/>
    <x v="23"/>
    <x v="0"/>
    <n v="1"/>
    <n v="500"/>
    <n v="500"/>
    <n v="7.5"/>
    <n v="10"/>
  </r>
  <r>
    <x v="238"/>
    <n v="19"/>
    <n v="6"/>
    <n v="2023"/>
    <s v="Monday"/>
    <s v="June"/>
    <d v="2023-06-19T00:00:00"/>
    <x v="238"/>
    <x v="0"/>
    <x v="0"/>
    <x v="21"/>
    <x v="2"/>
    <n v="3"/>
    <n v="500"/>
    <n v="1500"/>
    <n v="22.5"/>
    <n v="30"/>
  </r>
  <r>
    <x v="239"/>
    <n v="6"/>
    <n v="2"/>
    <n v="2023"/>
    <s v="Monday"/>
    <s v="February"/>
    <d v="2023-02-06T00:00:00"/>
    <x v="239"/>
    <x v="1"/>
    <x v="1"/>
    <x v="9"/>
    <x v="0"/>
    <n v="1"/>
    <n v="300"/>
    <n v="300"/>
    <n v="4.5"/>
    <n v="6"/>
  </r>
  <r>
    <x v="240"/>
    <n v="21"/>
    <n v="9"/>
    <n v="2023"/>
    <s v="Thursday"/>
    <s v="September"/>
    <d v="2023-09-21T00:00:00"/>
    <x v="240"/>
    <x v="1"/>
    <x v="1"/>
    <x v="9"/>
    <x v="2"/>
    <n v="3"/>
    <n v="25"/>
    <n v="75"/>
    <n v="1.125"/>
    <n v="1.5"/>
  </r>
  <r>
    <x v="241"/>
    <n v="2"/>
    <n v="5"/>
    <n v="2023"/>
    <s v="Tuesday"/>
    <s v="May"/>
    <d v="2023-05-02T00:00:00"/>
    <x v="241"/>
    <x v="0"/>
    <x v="1"/>
    <x v="34"/>
    <x v="1"/>
    <n v="1"/>
    <n v="25"/>
    <n v="25"/>
    <n v="0.375"/>
    <n v="0.5"/>
  </r>
  <r>
    <x v="242"/>
    <n v="23"/>
    <n v="5"/>
    <n v="2023"/>
    <s v="Tuesday"/>
    <s v="May"/>
    <d v="2023-05-23T00:00:00"/>
    <x v="242"/>
    <x v="1"/>
    <x v="0"/>
    <x v="16"/>
    <x v="2"/>
    <n v="3"/>
    <n v="300"/>
    <n v="900"/>
    <n v="13.5"/>
    <n v="18"/>
  </r>
  <r>
    <x v="243"/>
    <n v="9"/>
    <n v="12"/>
    <n v="2023"/>
    <s v="Saturday"/>
    <s v="December"/>
    <d v="2023-12-09T00:00:00"/>
    <x v="243"/>
    <x v="0"/>
    <x v="1"/>
    <x v="20"/>
    <x v="0"/>
    <n v="2"/>
    <n v="50"/>
    <n v="100"/>
    <n v="1.5"/>
    <n v="2"/>
  </r>
  <r>
    <x v="244"/>
    <n v="6"/>
    <n v="9"/>
    <n v="2023"/>
    <s v="Wednesday"/>
    <s v="September"/>
    <d v="2023-09-06T00:00:00"/>
    <x v="244"/>
    <x v="0"/>
    <x v="0"/>
    <x v="16"/>
    <x v="1"/>
    <n v="3"/>
    <n v="30"/>
    <n v="90"/>
    <n v="1.3499999999999999"/>
    <n v="1.8"/>
  </r>
  <r>
    <x v="245"/>
    <n v="20"/>
    <n v="4"/>
    <n v="2023"/>
    <s v="Thursday"/>
    <s v="April"/>
    <d v="2023-04-20T00:00:00"/>
    <x v="245"/>
    <x v="1"/>
    <x v="0"/>
    <x v="27"/>
    <x v="2"/>
    <n v="2"/>
    <n v="25"/>
    <n v="50"/>
    <n v="0.75"/>
    <n v="1"/>
  </r>
  <r>
    <x v="246"/>
    <n v="4"/>
    <n v="10"/>
    <n v="2023"/>
    <s v="Wednesday"/>
    <s v="October"/>
    <d v="2023-10-04T00:00:00"/>
    <x v="246"/>
    <x v="0"/>
    <x v="0"/>
    <x v="41"/>
    <x v="2"/>
    <n v="2"/>
    <n v="30"/>
    <n v="60"/>
    <n v="0.89999999999999991"/>
    <n v="1.2"/>
  </r>
  <r>
    <x v="247"/>
    <n v="9"/>
    <n v="3"/>
    <n v="2023"/>
    <s v="Thursday"/>
    <s v="March"/>
    <d v="2023-03-09T00:00:00"/>
    <x v="247"/>
    <x v="0"/>
    <x v="1"/>
    <x v="1"/>
    <x v="1"/>
    <n v="3"/>
    <n v="300"/>
    <n v="900"/>
    <n v="13.5"/>
    <n v="18"/>
  </r>
  <r>
    <x v="248"/>
    <n v="20"/>
    <n v="10"/>
    <n v="2023"/>
    <s v="Friday"/>
    <s v="October"/>
    <d v="2023-10-20T00:00:00"/>
    <x v="248"/>
    <x v="0"/>
    <x v="1"/>
    <x v="29"/>
    <x v="1"/>
    <n v="1"/>
    <n v="50"/>
    <n v="50"/>
    <n v="0.75"/>
    <n v="1"/>
  </r>
  <r>
    <x v="249"/>
    <n v="23"/>
    <n v="10"/>
    <n v="2023"/>
    <s v="Monday"/>
    <s v="October"/>
    <d v="2023-10-23T00:00:00"/>
    <x v="249"/>
    <x v="0"/>
    <x v="0"/>
    <x v="27"/>
    <x v="2"/>
    <n v="1"/>
    <n v="50"/>
    <n v="50"/>
    <n v="0.75"/>
    <n v="1"/>
  </r>
  <r>
    <x v="250"/>
    <n v="31"/>
    <n v="8"/>
    <n v="2023"/>
    <s v="Thursday"/>
    <s v="August"/>
    <d v="2023-08-31T00:00:00"/>
    <x v="250"/>
    <x v="1"/>
    <x v="0"/>
    <x v="35"/>
    <x v="0"/>
    <n v="4"/>
    <n v="50"/>
    <n v="200"/>
    <n v="3"/>
    <n v="4"/>
  </r>
  <r>
    <x v="251"/>
    <n v="5"/>
    <n v="5"/>
    <n v="2023"/>
    <s v="Friday"/>
    <s v="May"/>
    <d v="2023-05-05T00:00:00"/>
    <x v="251"/>
    <x v="0"/>
    <x v="0"/>
    <x v="31"/>
    <x v="2"/>
    <n v="1"/>
    <n v="300"/>
    <n v="300"/>
    <n v="4.5"/>
    <n v="6"/>
  </r>
  <r>
    <x v="252"/>
    <n v="31"/>
    <n v="8"/>
    <n v="2023"/>
    <s v="Thursday"/>
    <s v="August"/>
    <d v="2023-08-31T00:00:00"/>
    <x v="252"/>
    <x v="1"/>
    <x v="0"/>
    <x v="45"/>
    <x v="1"/>
    <n v="4"/>
    <n v="500"/>
    <n v="2000"/>
    <n v="30"/>
    <n v="40"/>
  </r>
  <r>
    <x v="253"/>
    <n v="28"/>
    <n v="7"/>
    <n v="2023"/>
    <s v="Friday"/>
    <s v="July"/>
    <d v="2023-07-28T00:00:00"/>
    <x v="253"/>
    <x v="0"/>
    <x v="0"/>
    <x v="41"/>
    <x v="2"/>
    <n v="1"/>
    <n v="500"/>
    <n v="500"/>
    <n v="7.5"/>
    <n v="10"/>
  </r>
  <r>
    <x v="254"/>
    <n v="8"/>
    <n v="4"/>
    <n v="2023"/>
    <s v="Saturday"/>
    <s v="April"/>
    <d v="2023-04-08T00:00:00"/>
    <x v="254"/>
    <x v="0"/>
    <x v="0"/>
    <x v="27"/>
    <x v="1"/>
    <n v="1"/>
    <n v="30"/>
    <n v="30"/>
    <n v="0.44999999999999996"/>
    <n v="0.6"/>
  </r>
  <r>
    <x v="255"/>
    <n v="18"/>
    <n v="2"/>
    <n v="2023"/>
    <s v="Saturday"/>
    <s v="February"/>
    <d v="2023-02-18T00:00:00"/>
    <x v="255"/>
    <x v="0"/>
    <x v="1"/>
    <x v="9"/>
    <x v="1"/>
    <n v="2"/>
    <n v="500"/>
    <n v="1000"/>
    <n v="15"/>
    <n v="20"/>
  </r>
  <r>
    <x v="256"/>
    <n v="19"/>
    <n v="2"/>
    <n v="2023"/>
    <s v="Sunday"/>
    <s v="February"/>
    <d v="2023-02-19T00:00:00"/>
    <x v="256"/>
    <x v="0"/>
    <x v="1"/>
    <x v="14"/>
    <x v="0"/>
    <n v="4"/>
    <n v="500"/>
    <n v="2000"/>
    <n v="30"/>
    <n v="40"/>
  </r>
  <r>
    <x v="257"/>
    <n v="4"/>
    <n v="12"/>
    <n v="2023"/>
    <s v="Monday"/>
    <s v="December"/>
    <d v="2023-12-04T00:00:00"/>
    <x v="257"/>
    <x v="1"/>
    <x v="0"/>
    <x v="3"/>
    <x v="1"/>
    <n v="1"/>
    <n v="50"/>
    <n v="50"/>
    <n v="0.75"/>
    <n v="1"/>
  </r>
  <r>
    <x v="258"/>
    <n v="9"/>
    <n v="8"/>
    <n v="2023"/>
    <s v="Wednesday"/>
    <s v="August"/>
    <d v="2023-08-09T00:00:00"/>
    <x v="258"/>
    <x v="1"/>
    <x v="0"/>
    <x v="5"/>
    <x v="1"/>
    <n v="4"/>
    <n v="50"/>
    <n v="200"/>
    <n v="3"/>
    <n v="4"/>
  </r>
  <r>
    <x v="259"/>
    <n v="1"/>
    <n v="7"/>
    <n v="2023"/>
    <s v="Saturday"/>
    <s v="July"/>
    <d v="2023-07-01T00:00:00"/>
    <x v="259"/>
    <x v="0"/>
    <x v="1"/>
    <x v="20"/>
    <x v="0"/>
    <n v="2"/>
    <n v="30"/>
    <n v="60"/>
    <n v="0.89999999999999991"/>
    <n v="1.2"/>
  </r>
  <r>
    <x v="260"/>
    <n v="5"/>
    <n v="8"/>
    <n v="2023"/>
    <s v="Saturday"/>
    <s v="August"/>
    <d v="2023-08-05T00:00:00"/>
    <x v="260"/>
    <x v="0"/>
    <x v="1"/>
    <x v="34"/>
    <x v="1"/>
    <n v="2"/>
    <n v="25"/>
    <n v="50"/>
    <n v="0.75"/>
    <n v="1"/>
  </r>
  <r>
    <x v="261"/>
    <n v="30"/>
    <n v="7"/>
    <n v="2023"/>
    <s v="Sunday"/>
    <s v="July"/>
    <d v="2023-07-30T00:00:00"/>
    <x v="261"/>
    <x v="1"/>
    <x v="0"/>
    <x v="40"/>
    <x v="0"/>
    <n v="4"/>
    <n v="30"/>
    <n v="120"/>
    <n v="1.7999999999999998"/>
    <n v="2.4"/>
  </r>
  <r>
    <x v="262"/>
    <n v="28"/>
    <n v="8"/>
    <n v="2023"/>
    <s v="Monday"/>
    <s v="August"/>
    <d v="2023-08-28T00:00:00"/>
    <x v="262"/>
    <x v="0"/>
    <x v="1"/>
    <x v="9"/>
    <x v="0"/>
    <n v="2"/>
    <n v="30"/>
    <n v="60"/>
    <n v="0.89999999999999991"/>
    <n v="1.2"/>
  </r>
  <r>
    <x v="263"/>
    <n v="28"/>
    <n v="1"/>
    <n v="2023"/>
    <s v="Saturday"/>
    <s v="January"/>
    <d v="2023-01-28T00:00:00"/>
    <x v="263"/>
    <x v="0"/>
    <x v="0"/>
    <x v="16"/>
    <x v="1"/>
    <n v="3"/>
    <n v="300"/>
    <n v="900"/>
    <n v="13.5"/>
    <n v="18"/>
  </r>
  <r>
    <x v="264"/>
    <n v="11"/>
    <n v="12"/>
    <n v="2023"/>
    <s v="Monday"/>
    <s v="December"/>
    <d v="2023-12-11T00:00:00"/>
    <x v="264"/>
    <x v="0"/>
    <x v="0"/>
    <x v="28"/>
    <x v="1"/>
    <n v="3"/>
    <n v="300"/>
    <n v="900"/>
    <n v="13.5"/>
    <n v="18"/>
  </r>
  <r>
    <x v="265"/>
    <n v="1"/>
    <n v="12"/>
    <n v="2023"/>
    <s v="Friday"/>
    <s v="December"/>
    <d v="2023-12-01T00:00:00"/>
    <x v="265"/>
    <x v="1"/>
    <x v="1"/>
    <x v="14"/>
    <x v="2"/>
    <n v="2"/>
    <n v="30"/>
    <n v="60"/>
    <n v="0.89999999999999991"/>
    <n v="1.2"/>
  </r>
  <r>
    <x v="266"/>
    <n v="27"/>
    <n v="11"/>
    <n v="2023"/>
    <s v="Monday"/>
    <s v="November"/>
    <d v="2023-11-27T00:00:00"/>
    <x v="266"/>
    <x v="1"/>
    <x v="0"/>
    <x v="40"/>
    <x v="0"/>
    <n v="3"/>
    <n v="30"/>
    <n v="90"/>
    <n v="1.3499999999999999"/>
    <n v="1.8"/>
  </r>
  <r>
    <x v="267"/>
    <n v="20"/>
    <n v="2"/>
    <n v="2023"/>
    <s v="Monday"/>
    <s v="February"/>
    <d v="2023-02-20T00:00:00"/>
    <x v="267"/>
    <x v="1"/>
    <x v="1"/>
    <x v="20"/>
    <x v="2"/>
    <n v="1"/>
    <n v="30"/>
    <n v="30"/>
    <n v="0.44999999999999996"/>
    <n v="0.6"/>
  </r>
  <r>
    <x v="268"/>
    <n v="1"/>
    <n v="2"/>
    <n v="2023"/>
    <s v="Wednesday"/>
    <s v="February"/>
    <d v="2023-02-01T00:00:00"/>
    <x v="268"/>
    <x v="0"/>
    <x v="1"/>
    <x v="36"/>
    <x v="1"/>
    <n v="4"/>
    <n v="500"/>
    <n v="2000"/>
    <n v="30"/>
    <n v="40"/>
  </r>
  <r>
    <x v="269"/>
    <n v="26"/>
    <n v="7"/>
    <n v="2023"/>
    <s v="Wednesday"/>
    <s v="July"/>
    <d v="2023-07-26T00:00:00"/>
    <x v="269"/>
    <x v="0"/>
    <x v="0"/>
    <x v="22"/>
    <x v="2"/>
    <n v="1"/>
    <n v="300"/>
    <n v="300"/>
    <n v="4.5"/>
    <n v="6"/>
  </r>
  <r>
    <x v="270"/>
    <n v="23"/>
    <n v="6"/>
    <n v="2023"/>
    <s v="Friday"/>
    <s v="June"/>
    <d v="2023-06-23T00:00:00"/>
    <x v="270"/>
    <x v="1"/>
    <x v="0"/>
    <x v="17"/>
    <x v="0"/>
    <n v="4"/>
    <n v="30"/>
    <n v="120"/>
    <n v="1.7999999999999998"/>
    <n v="2.4"/>
  </r>
  <r>
    <x v="271"/>
    <n v="25"/>
    <n v="2"/>
    <n v="2023"/>
    <s v="Saturday"/>
    <s v="February"/>
    <d v="2023-02-25T00:00:00"/>
    <x v="271"/>
    <x v="1"/>
    <x v="0"/>
    <x v="39"/>
    <x v="2"/>
    <n v="2"/>
    <n v="50"/>
    <n v="100"/>
    <n v="1.5"/>
    <n v="2"/>
  </r>
  <r>
    <x v="272"/>
    <n v="8"/>
    <n v="5"/>
    <n v="2023"/>
    <s v="Monday"/>
    <s v="May"/>
    <d v="2023-05-08T00:00:00"/>
    <x v="272"/>
    <x v="1"/>
    <x v="1"/>
    <x v="11"/>
    <x v="0"/>
    <n v="1"/>
    <n v="50"/>
    <n v="50"/>
    <n v="0.75"/>
    <n v="1"/>
  </r>
  <r>
    <x v="273"/>
    <n v="9"/>
    <n v="4"/>
    <n v="2023"/>
    <s v="Sunday"/>
    <s v="April"/>
    <d v="2023-04-09T00:00:00"/>
    <x v="273"/>
    <x v="1"/>
    <x v="1"/>
    <x v="9"/>
    <x v="1"/>
    <n v="2"/>
    <n v="500"/>
    <n v="1000"/>
    <n v="15"/>
    <n v="20"/>
  </r>
  <r>
    <x v="274"/>
    <n v="8"/>
    <n v="4"/>
    <n v="2023"/>
    <s v="Saturday"/>
    <s v="April"/>
    <d v="2023-04-08T00:00:00"/>
    <x v="274"/>
    <x v="0"/>
    <x v="0"/>
    <x v="22"/>
    <x v="1"/>
    <n v="2"/>
    <n v="500"/>
    <n v="1000"/>
    <n v="15"/>
    <n v="20"/>
  </r>
  <r>
    <x v="275"/>
    <n v="2"/>
    <n v="10"/>
    <n v="2023"/>
    <s v="Monday"/>
    <s v="October"/>
    <d v="2023-10-02T00:00:00"/>
    <x v="275"/>
    <x v="1"/>
    <x v="1"/>
    <x v="34"/>
    <x v="0"/>
    <n v="4"/>
    <n v="25"/>
    <n v="100"/>
    <n v="1.5"/>
    <n v="2"/>
  </r>
  <r>
    <x v="276"/>
    <n v="18"/>
    <n v="8"/>
    <n v="2023"/>
    <s v="Friday"/>
    <s v="August"/>
    <d v="2023-08-18T00:00:00"/>
    <x v="276"/>
    <x v="0"/>
    <x v="0"/>
    <x v="32"/>
    <x v="1"/>
    <n v="4"/>
    <n v="25"/>
    <n v="100"/>
    <n v="1.5"/>
    <n v="2"/>
  </r>
  <r>
    <x v="277"/>
    <n v="13"/>
    <n v="3"/>
    <n v="2023"/>
    <s v="Monday"/>
    <s v="March"/>
    <d v="2023-03-13T00:00:00"/>
    <x v="277"/>
    <x v="1"/>
    <x v="0"/>
    <x v="3"/>
    <x v="1"/>
    <n v="4"/>
    <n v="25"/>
    <n v="100"/>
    <n v="1.5"/>
    <n v="2"/>
  </r>
  <r>
    <x v="278"/>
    <n v="5"/>
    <n v="8"/>
    <n v="2023"/>
    <s v="Saturday"/>
    <s v="August"/>
    <d v="2023-08-05T00:00:00"/>
    <x v="278"/>
    <x v="0"/>
    <x v="0"/>
    <x v="2"/>
    <x v="1"/>
    <n v="1"/>
    <n v="500"/>
    <n v="500"/>
    <n v="7.5"/>
    <n v="10"/>
  </r>
  <r>
    <x v="279"/>
    <n v="4"/>
    <n v="4"/>
    <n v="2023"/>
    <s v="Tuesday"/>
    <s v="April"/>
    <d v="2023-04-04T00:00:00"/>
    <x v="279"/>
    <x v="1"/>
    <x v="0"/>
    <x v="3"/>
    <x v="1"/>
    <n v="3"/>
    <n v="500"/>
    <n v="1500"/>
    <n v="22.5"/>
    <n v="30"/>
  </r>
  <r>
    <x v="280"/>
    <n v="23"/>
    <n v="5"/>
    <n v="2023"/>
    <s v="Tuesday"/>
    <s v="May"/>
    <d v="2023-05-23T00:00:00"/>
    <x v="280"/>
    <x v="1"/>
    <x v="1"/>
    <x v="38"/>
    <x v="0"/>
    <n v="4"/>
    <n v="500"/>
    <n v="2000"/>
    <n v="30"/>
    <n v="40"/>
  </r>
  <r>
    <x v="281"/>
    <n v="25"/>
    <n v="8"/>
    <n v="2023"/>
    <s v="Friday"/>
    <s v="August"/>
    <d v="2023-08-25T00:00:00"/>
    <x v="281"/>
    <x v="1"/>
    <x v="0"/>
    <x v="12"/>
    <x v="2"/>
    <n v="4"/>
    <n v="50"/>
    <n v="200"/>
    <n v="3"/>
    <n v="4"/>
  </r>
  <r>
    <x v="282"/>
    <n v="8"/>
    <n v="5"/>
    <n v="2023"/>
    <s v="Monday"/>
    <s v="May"/>
    <d v="2023-05-08T00:00:00"/>
    <x v="282"/>
    <x v="1"/>
    <x v="1"/>
    <x v="18"/>
    <x v="2"/>
    <n v="1"/>
    <n v="500"/>
    <n v="500"/>
    <n v="7.5"/>
    <n v="10"/>
  </r>
  <r>
    <x v="283"/>
    <n v="8"/>
    <n v="2"/>
    <n v="2023"/>
    <s v="Wednesday"/>
    <s v="February"/>
    <d v="2023-02-08T00:00:00"/>
    <x v="283"/>
    <x v="0"/>
    <x v="0"/>
    <x v="22"/>
    <x v="1"/>
    <n v="4"/>
    <n v="50"/>
    <n v="200"/>
    <n v="3"/>
    <n v="4"/>
  </r>
  <r>
    <x v="284"/>
    <n v="15"/>
    <n v="8"/>
    <n v="2023"/>
    <s v="Tuesday"/>
    <s v="August"/>
    <d v="2023-08-15T00:00:00"/>
    <x v="284"/>
    <x v="1"/>
    <x v="0"/>
    <x v="33"/>
    <x v="2"/>
    <n v="1"/>
    <n v="25"/>
    <n v="25"/>
    <n v="0.375"/>
    <n v="0.5"/>
  </r>
  <r>
    <x v="285"/>
    <n v="9"/>
    <n v="10"/>
    <n v="2023"/>
    <s v="Monday"/>
    <s v="October"/>
    <d v="2023-10-09T00:00:00"/>
    <x v="285"/>
    <x v="0"/>
    <x v="0"/>
    <x v="28"/>
    <x v="2"/>
    <n v="2"/>
    <n v="25"/>
    <n v="50"/>
    <n v="0.75"/>
    <n v="1"/>
  </r>
  <r>
    <x v="286"/>
    <n v="20"/>
    <n v="2"/>
    <n v="2023"/>
    <s v="Monday"/>
    <s v="February"/>
    <d v="2023-02-20T00:00:00"/>
    <x v="286"/>
    <x v="0"/>
    <x v="0"/>
    <x v="31"/>
    <x v="1"/>
    <n v="4"/>
    <n v="25"/>
    <n v="100"/>
    <n v="1.5"/>
    <n v="2"/>
  </r>
  <r>
    <x v="287"/>
    <n v="26"/>
    <n v="1"/>
    <n v="2023"/>
    <s v="Thursday"/>
    <s v="January"/>
    <d v="2023-01-26T00:00:00"/>
    <x v="287"/>
    <x v="0"/>
    <x v="1"/>
    <x v="20"/>
    <x v="1"/>
    <n v="4"/>
    <n v="30"/>
    <n v="120"/>
    <n v="1.7999999999999998"/>
    <n v="2.4"/>
  </r>
  <r>
    <x v="288"/>
    <n v="30"/>
    <n v="11"/>
    <n v="2023"/>
    <s v="Thursday"/>
    <s v="November"/>
    <d v="2023-11-30T00:00:00"/>
    <x v="288"/>
    <x v="0"/>
    <x v="0"/>
    <x v="45"/>
    <x v="2"/>
    <n v="2"/>
    <n v="30"/>
    <n v="60"/>
    <n v="0.89999999999999991"/>
    <n v="1.2"/>
  </r>
  <r>
    <x v="289"/>
    <n v="4"/>
    <n v="10"/>
    <n v="2023"/>
    <s v="Wednesday"/>
    <s v="October"/>
    <d v="2023-10-04T00:00:00"/>
    <x v="289"/>
    <x v="1"/>
    <x v="0"/>
    <x v="4"/>
    <x v="0"/>
    <n v="2"/>
    <n v="300"/>
    <n v="600"/>
    <n v="9"/>
    <n v="12"/>
  </r>
  <r>
    <x v="290"/>
    <n v="8"/>
    <n v="1"/>
    <n v="2023"/>
    <s v="Sunday"/>
    <s v="January"/>
    <d v="2023-01-08T00:00:00"/>
    <x v="290"/>
    <x v="0"/>
    <x v="0"/>
    <x v="43"/>
    <x v="1"/>
    <n v="2"/>
    <n v="300"/>
    <n v="600"/>
    <n v="9"/>
    <n v="12"/>
  </r>
  <r>
    <x v="291"/>
    <n v="17"/>
    <n v="2"/>
    <n v="2023"/>
    <s v="Friday"/>
    <s v="February"/>
    <d v="2023-02-17T00:00:00"/>
    <x v="291"/>
    <x v="0"/>
    <x v="1"/>
    <x v="29"/>
    <x v="0"/>
    <n v="4"/>
    <n v="300"/>
    <n v="1200"/>
    <n v="18"/>
    <n v="24"/>
  </r>
  <r>
    <x v="292"/>
    <n v="2"/>
    <n v="5"/>
    <n v="2023"/>
    <s v="Tuesday"/>
    <s v="May"/>
    <d v="2023-05-02T00:00:00"/>
    <x v="292"/>
    <x v="0"/>
    <x v="0"/>
    <x v="2"/>
    <x v="2"/>
    <n v="3"/>
    <n v="30"/>
    <n v="90"/>
    <n v="1.3499999999999999"/>
    <n v="1.8"/>
  </r>
  <r>
    <x v="293"/>
    <n v="27"/>
    <n v="3"/>
    <n v="2023"/>
    <s v="Monday"/>
    <s v="March"/>
    <d v="2023-03-27T00:00:00"/>
    <x v="293"/>
    <x v="1"/>
    <x v="1"/>
    <x v="9"/>
    <x v="1"/>
    <n v="3"/>
    <n v="30"/>
    <n v="90"/>
    <n v="1.3499999999999999"/>
    <n v="1.8"/>
  </r>
  <r>
    <x v="294"/>
    <n v="28"/>
    <n v="7"/>
    <n v="2023"/>
    <s v="Friday"/>
    <s v="July"/>
    <d v="2023-07-28T00:00:00"/>
    <x v="294"/>
    <x v="1"/>
    <x v="1"/>
    <x v="15"/>
    <x v="0"/>
    <n v="3"/>
    <n v="300"/>
    <n v="900"/>
    <n v="13.5"/>
    <n v="18"/>
  </r>
  <r>
    <x v="295"/>
    <n v="6"/>
    <n v="9"/>
    <n v="2023"/>
    <s v="Wednesday"/>
    <s v="September"/>
    <d v="2023-09-06T00:00:00"/>
    <x v="295"/>
    <x v="1"/>
    <x v="1"/>
    <x v="11"/>
    <x v="1"/>
    <n v="4"/>
    <n v="300"/>
    <n v="1200"/>
    <n v="18"/>
    <n v="24"/>
  </r>
  <r>
    <x v="296"/>
    <n v="4"/>
    <n v="9"/>
    <n v="2023"/>
    <s v="Monday"/>
    <s v="September"/>
    <d v="2023-09-04T00:00:00"/>
    <x v="296"/>
    <x v="1"/>
    <x v="0"/>
    <x v="30"/>
    <x v="2"/>
    <n v="2"/>
    <n v="500"/>
    <n v="1000"/>
    <n v="15"/>
    <n v="20"/>
  </r>
  <r>
    <x v="297"/>
    <n v="20"/>
    <n v="4"/>
    <n v="2023"/>
    <s v="Thursday"/>
    <s v="April"/>
    <d v="2023-04-20T00:00:00"/>
    <x v="297"/>
    <x v="0"/>
    <x v="1"/>
    <x v="15"/>
    <x v="0"/>
    <n v="4"/>
    <n v="300"/>
    <n v="1200"/>
    <n v="18"/>
    <n v="24"/>
  </r>
  <r>
    <x v="298"/>
    <n v="25"/>
    <n v="7"/>
    <n v="2023"/>
    <s v="Tuesday"/>
    <s v="July"/>
    <d v="2023-07-25T00:00:00"/>
    <x v="298"/>
    <x v="0"/>
    <x v="0"/>
    <x v="39"/>
    <x v="2"/>
    <n v="2"/>
    <n v="500"/>
    <n v="1000"/>
    <n v="15"/>
    <n v="20"/>
  </r>
  <r>
    <x v="299"/>
    <n v="31"/>
    <n v="1"/>
    <n v="2023"/>
    <s v="Tuesday"/>
    <s v="January"/>
    <d v="2023-01-31T00:00:00"/>
    <x v="299"/>
    <x v="1"/>
    <x v="1"/>
    <x v="14"/>
    <x v="2"/>
    <n v="4"/>
    <n v="50"/>
    <n v="200"/>
    <n v="3"/>
    <n v="4"/>
  </r>
  <r>
    <x v="300"/>
    <n v="26"/>
    <n v="3"/>
    <n v="2023"/>
    <s v="Sunday"/>
    <s v="March"/>
    <d v="2023-03-26T00:00:00"/>
    <x v="300"/>
    <x v="0"/>
    <x v="0"/>
    <x v="4"/>
    <x v="1"/>
    <n v="4"/>
    <n v="30"/>
    <n v="120"/>
    <n v="1.7999999999999998"/>
    <n v="2.4"/>
  </r>
  <r>
    <x v="301"/>
    <n v="14"/>
    <n v="7"/>
    <n v="2023"/>
    <s v="Friday"/>
    <s v="July"/>
    <d v="2023-07-14T00:00:00"/>
    <x v="301"/>
    <x v="0"/>
    <x v="0"/>
    <x v="35"/>
    <x v="0"/>
    <n v="2"/>
    <n v="300"/>
    <n v="600"/>
    <n v="9"/>
    <n v="12"/>
  </r>
  <r>
    <x v="302"/>
    <n v="2"/>
    <n v="1"/>
    <n v="2023"/>
    <s v="Monday"/>
    <s v="January"/>
    <d v="2023-01-02T00:00:00"/>
    <x v="302"/>
    <x v="0"/>
    <x v="1"/>
    <x v="14"/>
    <x v="2"/>
    <n v="3"/>
    <n v="30"/>
    <n v="90"/>
    <n v="1.3499999999999999"/>
    <n v="1.8"/>
  </r>
  <r>
    <x v="303"/>
    <n v="19"/>
    <n v="7"/>
    <n v="2023"/>
    <s v="Wednesday"/>
    <s v="July"/>
    <d v="2023-07-19T00:00:00"/>
    <x v="303"/>
    <x v="1"/>
    <x v="0"/>
    <x v="3"/>
    <x v="2"/>
    <n v="2"/>
    <n v="30"/>
    <n v="60"/>
    <n v="0.89999999999999991"/>
    <n v="1.2"/>
  </r>
  <r>
    <x v="304"/>
    <n v="16"/>
    <n v="5"/>
    <n v="2023"/>
    <s v="Tuesday"/>
    <s v="May"/>
    <d v="2023-05-16T00:00:00"/>
    <x v="304"/>
    <x v="1"/>
    <x v="1"/>
    <x v="18"/>
    <x v="0"/>
    <n v="1"/>
    <n v="30"/>
    <n v="30"/>
    <n v="0.44999999999999996"/>
    <n v="0.6"/>
  </r>
  <r>
    <x v="305"/>
    <n v="21"/>
    <n v="8"/>
    <n v="2023"/>
    <s v="Monday"/>
    <s v="August"/>
    <d v="2023-08-21T00:00:00"/>
    <x v="305"/>
    <x v="0"/>
    <x v="0"/>
    <x v="31"/>
    <x v="2"/>
    <n v="1"/>
    <n v="50"/>
    <n v="50"/>
    <n v="0.75"/>
    <n v="1"/>
  </r>
  <r>
    <x v="306"/>
    <n v="27"/>
    <n v="5"/>
    <n v="2023"/>
    <s v="Saturday"/>
    <s v="May"/>
    <d v="2023-05-27T00:00:00"/>
    <x v="306"/>
    <x v="1"/>
    <x v="1"/>
    <x v="1"/>
    <x v="2"/>
    <n v="2"/>
    <n v="25"/>
    <n v="50"/>
    <n v="0.75"/>
    <n v="1"/>
  </r>
  <r>
    <x v="307"/>
    <n v="5"/>
    <n v="8"/>
    <n v="2023"/>
    <s v="Saturday"/>
    <s v="August"/>
    <d v="2023-08-05T00:00:00"/>
    <x v="307"/>
    <x v="1"/>
    <x v="0"/>
    <x v="0"/>
    <x v="0"/>
    <n v="4"/>
    <n v="300"/>
    <n v="1200"/>
    <n v="18"/>
    <n v="24"/>
  </r>
  <r>
    <x v="308"/>
    <n v="23"/>
    <n v="12"/>
    <n v="2023"/>
    <s v="Saturday"/>
    <s v="December"/>
    <d v="2023-12-23T00:00:00"/>
    <x v="308"/>
    <x v="1"/>
    <x v="1"/>
    <x v="1"/>
    <x v="0"/>
    <n v="1"/>
    <n v="25"/>
    <n v="25"/>
    <n v="0.375"/>
    <n v="0.5"/>
  </r>
  <r>
    <x v="309"/>
    <n v="12"/>
    <n v="10"/>
    <n v="2023"/>
    <s v="Thursday"/>
    <s v="October"/>
    <d v="2023-10-12T00:00:00"/>
    <x v="309"/>
    <x v="1"/>
    <x v="1"/>
    <x v="20"/>
    <x v="0"/>
    <n v="1"/>
    <n v="25"/>
    <n v="25"/>
    <n v="0.375"/>
    <n v="0.5"/>
  </r>
  <r>
    <x v="310"/>
    <n v="5"/>
    <n v="12"/>
    <n v="2023"/>
    <s v="Tuesday"/>
    <s v="December"/>
    <d v="2023-12-05T00:00:00"/>
    <x v="310"/>
    <x v="1"/>
    <x v="0"/>
    <x v="40"/>
    <x v="0"/>
    <n v="4"/>
    <n v="25"/>
    <n v="100"/>
    <n v="1.5"/>
    <n v="2"/>
  </r>
  <r>
    <x v="311"/>
    <n v="7"/>
    <n v="9"/>
    <n v="2023"/>
    <s v="Thursday"/>
    <s v="September"/>
    <d v="2023-09-07T00:00:00"/>
    <x v="311"/>
    <x v="0"/>
    <x v="0"/>
    <x v="41"/>
    <x v="1"/>
    <n v="4"/>
    <n v="30"/>
    <n v="120"/>
    <n v="1.7999999999999998"/>
    <n v="2.4"/>
  </r>
  <r>
    <x v="312"/>
    <n v="21"/>
    <n v="3"/>
    <n v="2023"/>
    <s v="Tuesday"/>
    <s v="March"/>
    <d v="2023-03-21T00:00:00"/>
    <x v="312"/>
    <x v="1"/>
    <x v="0"/>
    <x v="28"/>
    <x v="0"/>
    <n v="3"/>
    <n v="500"/>
    <n v="1500"/>
    <n v="22.5"/>
    <n v="30"/>
  </r>
  <r>
    <x v="313"/>
    <n v="8"/>
    <n v="4"/>
    <n v="2023"/>
    <s v="Saturday"/>
    <s v="April"/>
    <d v="2023-04-08T00:00:00"/>
    <x v="313"/>
    <x v="0"/>
    <x v="0"/>
    <x v="8"/>
    <x v="1"/>
    <n v="4"/>
    <n v="30"/>
    <n v="120"/>
    <n v="1.7999999999999998"/>
    <n v="2.4"/>
  </r>
  <r>
    <x v="314"/>
    <n v="1"/>
    <n v="6"/>
    <n v="2023"/>
    <s v="Thursday"/>
    <s v="June"/>
    <d v="2023-06-01T00:00:00"/>
    <x v="314"/>
    <x v="0"/>
    <x v="0"/>
    <x v="16"/>
    <x v="1"/>
    <n v="2"/>
    <n v="30"/>
    <n v="60"/>
    <n v="0.89999999999999991"/>
    <n v="1.2"/>
  </r>
  <r>
    <x v="315"/>
    <n v="22"/>
    <n v="4"/>
    <n v="2023"/>
    <s v="Saturday"/>
    <s v="April"/>
    <d v="2023-04-22T00:00:00"/>
    <x v="315"/>
    <x v="1"/>
    <x v="0"/>
    <x v="27"/>
    <x v="1"/>
    <n v="2"/>
    <n v="25"/>
    <n v="50"/>
    <n v="0.75"/>
    <n v="1"/>
  </r>
  <r>
    <x v="316"/>
    <n v="30"/>
    <n v="1"/>
    <n v="2023"/>
    <s v="Monday"/>
    <s v="January"/>
    <d v="2023-01-30T00:00:00"/>
    <x v="316"/>
    <x v="0"/>
    <x v="1"/>
    <x v="11"/>
    <x v="2"/>
    <n v="3"/>
    <n v="30"/>
    <n v="90"/>
    <n v="1.3499999999999999"/>
    <n v="1.8"/>
  </r>
  <r>
    <x v="317"/>
    <n v="24"/>
    <n v="10"/>
    <n v="2023"/>
    <s v="Tuesday"/>
    <s v="October"/>
    <d v="2023-10-24T00:00:00"/>
    <x v="317"/>
    <x v="0"/>
    <x v="0"/>
    <x v="39"/>
    <x v="1"/>
    <n v="1"/>
    <n v="25"/>
    <n v="25"/>
    <n v="0.375"/>
    <n v="0.5"/>
  </r>
  <r>
    <x v="318"/>
    <n v="5"/>
    <n v="10"/>
    <n v="2023"/>
    <s v="Thursday"/>
    <s v="October"/>
    <d v="2023-10-05T00:00:00"/>
    <x v="318"/>
    <x v="0"/>
    <x v="0"/>
    <x v="33"/>
    <x v="1"/>
    <n v="1"/>
    <n v="500"/>
    <n v="500"/>
    <n v="7.5"/>
    <n v="10"/>
  </r>
  <r>
    <x v="319"/>
    <n v="1"/>
    <n v="2"/>
    <n v="2023"/>
    <s v="Wednesday"/>
    <s v="February"/>
    <d v="2023-02-01T00:00:00"/>
    <x v="319"/>
    <x v="1"/>
    <x v="1"/>
    <x v="20"/>
    <x v="2"/>
    <n v="4"/>
    <n v="300"/>
    <n v="1200"/>
    <n v="18"/>
    <n v="24"/>
  </r>
  <r>
    <x v="320"/>
    <n v="10"/>
    <n v="6"/>
    <n v="2023"/>
    <s v="Saturday"/>
    <s v="June"/>
    <d v="2023-06-10T00:00:00"/>
    <x v="320"/>
    <x v="1"/>
    <x v="1"/>
    <x v="1"/>
    <x v="2"/>
    <n v="2"/>
    <n v="25"/>
    <n v="50"/>
    <n v="0.75"/>
    <n v="1"/>
  </r>
  <r>
    <x v="321"/>
    <n v="30"/>
    <n v="1"/>
    <n v="2023"/>
    <s v="Monday"/>
    <s v="January"/>
    <d v="2023-01-30T00:00:00"/>
    <x v="321"/>
    <x v="0"/>
    <x v="0"/>
    <x v="25"/>
    <x v="2"/>
    <n v="1"/>
    <n v="500"/>
    <n v="500"/>
    <n v="7.5"/>
    <n v="10"/>
  </r>
  <r>
    <x v="322"/>
    <n v="26"/>
    <n v="1"/>
    <n v="2023"/>
    <s v="Thursday"/>
    <s v="January"/>
    <d v="2023-01-26T00:00:00"/>
    <x v="322"/>
    <x v="1"/>
    <x v="1"/>
    <x v="38"/>
    <x v="0"/>
    <n v="3"/>
    <n v="300"/>
    <n v="900"/>
    <n v="13.5"/>
    <n v="18"/>
  </r>
  <r>
    <x v="323"/>
    <n v="27"/>
    <n v="10"/>
    <n v="2023"/>
    <s v="Friday"/>
    <s v="October"/>
    <d v="2023-10-27T00:00:00"/>
    <x v="323"/>
    <x v="1"/>
    <x v="0"/>
    <x v="8"/>
    <x v="2"/>
    <n v="3"/>
    <n v="50"/>
    <n v="150"/>
    <n v="2.25"/>
    <n v="3"/>
  </r>
  <r>
    <x v="324"/>
    <n v="2"/>
    <n v="9"/>
    <n v="2023"/>
    <s v="Saturday"/>
    <s v="September"/>
    <d v="2023-09-02T00:00:00"/>
    <x v="324"/>
    <x v="1"/>
    <x v="0"/>
    <x v="8"/>
    <x v="2"/>
    <n v="2"/>
    <n v="25"/>
    <n v="50"/>
    <n v="0.75"/>
    <n v="1"/>
  </r>
  <r>
    <x v="325"/>
    <n v="15"/>
    <n v="9"/>
    <n v="2023"/>
    <s v="Friday"/>
    <s v="September"/>
    <d v="2023-09-15T00:00:00"/>
    <x v="325"/>
    <x v="1"/>
    <x v="1"/>
    <x v="18"/>
    <x v="1"/>
    <n v="3"/>
    <n v="25"/>
    <n v="75"/>
    <n v="1.125"/>
    <n v="1.5"/>
  </r>
  <r>
    <x v="326"/>
    <n v="29"/>
    <n v="9"/>
    <n v="2023"/>
    <s v="Friday"/>
    <s v="September"/>
    <d v="2023-09-29T00:00:00"/>
    <x v="326"/>
    <x v="0"/>
    <x v="0"/>
    <x v="35"/>
    <x v="2"/>
    <n v="3"/>
    <n v="50"/>
    <n v="150"/>
    <n v="2.25"/>
    <n v="3"/>
  </r>
  <r>
    <x v="327"/>
    <n v="22"/>
    <n v="3"/>
    <n v="2023"/>
    <s v="Wednesday"/>
    <s v="March"/>
    <d v="2023-03-22T00:00:00"/>
    <x v="327"/>
    <x v="0"/>
    <x v="0"/>
    <x v="23"/>
    <x v="0"/>
    <n v="2"/>
    <n v="50"/>
    <n v="100"/>
    <n v="1.5"/>
    <n v="2"/>
  </r>
  <r>
    <x v="328"/>
    <n v="30"/>
    <n v="1"/>
    <n v="2023"/>
    <s v="Monday"/>
    <s v="January"/>
    <d v="2023-01-30T00:00:00"/>
    <x v="328"/>
    <x v="1"/>
    <x v="0"/>
    <x v="6"/>
    <x v="2"/>
    <n v="4"/>
    <n v="25"/>
    <n v="100"/>
    <n v="1.5"/>
    <n v="2"/>
  </r>
  <r>
    <x v="329"/>
    <n v="18"/>
    <n v="9"/>
    <n v="2023"/>
    <s v="Monday"/>
    <s v="September"/>
    <d v="2023-09-18T00:00:00"/>
    <x v="329"/>
    <x v="1"/>
    <x v="1"/>
    <x v="36"/>
    <x v="0"/>
    <n v="4"/>
    <n v="50"/>
    <n v="200"/>
    <n v="3"/>
    <n v="4"/>
  </r>
  <r>
    <x v="330"/>
    <n v="11"/>
    <n v="2"/>
    <n v="2023"/>
    <s v="Saturday"/>
    <s v="February"/>
    <d v="2023-02-11T00:00:00"/>
    <x v="330"/>
    <x v="0"/>
    <x v="1"/>
    <x v="20"/>
    <x v="2"/>
    <n v="3"/>
    <n v="30"/>
    <n v="90"/>
    <n v="1.3499999999999999"/>
    <n v="1.8"/>
  </r>
  <r>
    <x v="331"/>
    <n v="6"/>
    <n v="4"/>
    <n v="2023"/>
    <s v="Thursday"/>
    <s v="April"/>
    <d v="2023-04-06T00:00:00"/>
    <x v="331"/>
    <x v="0"/>
    <x v="0"/>
    <x v="26"/>
    <x v="2"/>
    <n v="4"/>
    <n v="300"/>
    <n v="1200"/>
    <n v="18"/>
    <n v="24"/>
  </r>
  <r>
    <x v="332"/>
    <n v="5"/>
    <n v="2"/>
    <n v="2023"/>
    <s v="Sunday"/>
    <s v="February"/>
    <d v="2023-02-05T00:00:00"/>
    <x v="332"/>
    <x v="1"/>
    <x v="0"/>
    <x v="31"/>
    <x v="2"/>
    <n v="4"/>
    <n v="300"/>
    <n v="1200"/>
    <n v="18"/>
    <n v="24"/>
  </r>
  <r>
    <x v="333"/>
    <n v="1"/>
    <n v="11"/>
    <n v="2023"/>
    <s v="Wednesday"/>
    <s v="November"/>
    <d v="2023-11-01T00:00:00"/>
    <x v="333"/>
    <x v="0"/>
    <x v="0"/>
    <x v="33"/>
    <x v="2"/>
    <n v="3"/>
    <n v="300"/>
    <n v="900"/>
    <n v="13.5"/>
    <n v="18"/>
  </r>
  <r>
    <x v="334"/>
    <n v="4"/>
    <n v="2"/>
    <n v="2023"/>
    <s v="Saturday"/>
    <s v="February"/>
    <d v="2023-02-04T00:00:00"/>
    <x v="334"/>
    <x v="1"/>
    <x v="0"/>
    <x v="16"/>
    <x v="0"/>
    <n v="4"/>
    <n v="30"/>
    <n v="120"/>
    <n v="1.7999999999999998"/>
    <n v="2.4"/>
  </r>
  <r>
    <x v="335"/>
    <n v="12"/>
    <n v="12"/>
    <n v="2023"/>
    <s v="Tuesday"/>
    <s v="December"/>
    <d v="2023-12-12T00:00:00"/>
    <x v="335"/>
    <x v="1"/>
    <x v="0"/>
    <x v="8"/>
    <x v="0"/>
    <n v="3"/>
    <n v="50"/>
    <n v="150"/>
    <n v="2.25"/>
    <n v="3"/>
  </r>
  <r>
    <x v="336"/>
    <n v="1"/>
    <n v="5"/>
    <n v="2023"/>
    <s v="Monday"/>
    <s v="May"/>
    <d v="2023-05-01T00:00:00"/>
    <x v="336"/>
    <x v="0"/>
    <x v="0"/>
    <x v="21"/>
    <x v="1"/>
    <n v="1"/>
    <n v="500"/>
    <n v="500"/>
    <n v="7.5"/>
    <n v="10"/>
  </r>
  <r>
    <x v="337"/>
    <n v="26"/>
    <n v="7"/>
    <n v="2023"/>
    <s v="Wednesday"/>
    <s v="July"/>
    <d v="2023-07-26T00:00:00"/>
    <x v="337"/>
    <x v="0"/>
    <x v="0"/>
    <x v="31"/>
    <x v="0"/>
    <n v="2"/>
    <n v="50"/>
    <n v="100"/>
    <n v="1.5"/>
    <n v="2"/>
  </r>
  <r>
    <x v="338"/>
    <n v="3"/>
    <n v="3"/>
    <n v="2023"/>
    <s v="Friday"/>
    <s v="March"/>
    <d v="2023-03-03T00:00:00"/>
    <x v="338"/>
    <x v="1"/>
    <x v="1"/>
    <x v="11"/>
    <x v="2"/>
    <n v="2"/>
    <n v="25"/>
    <n v="50"/>
    <n v="0.75"/>
    <n v="1"/>
  </r>
  <r>
    <x v="339"/>
    <n v="19"/>
    <n v="10"/>
    <n v="2023"/>
    <s v="Thursday"/>
    <s v="October"/>
    <d v="2023-10-19T00:00:00"/>
    <x v="339"/>
    <x v="1"/>
    <x v="0"/>
    <x v="32"/>
    <x v="1"/>
    <n v="4"/>
    <n v="300"/>
    <n v="1200"/>
    <n v="18"/>
    <n v="24"/>
  </r>
  <r>
    <x v="340"/>
    <n v="7"/>
    <n v="5"/>
    <n v="2023"/>
    <s v="Sunday"/>
    <s v="May"/>
    <d v="2023-05-07T00:00:00"/>
    <x v="340"/>
    <x v="0"/>
    <x v="0"/>
    <x v="33"/>
    <x v="1"/>
    <n v="4"/>
    <n v="50"/>
    <n v="200"/>
    <n v="3"/>
    <n v="4"/>
  </r>
  <r>
    <x v="341"/>
    <n v="24"/>
    <n v="10"/>
    <n v="2023"/>
    <s v="Tuesday"/>
    <s v="October"/>
    <d v="2023-10-24T00:00:00"/>
    <x v="341"/>
    <x v="1"/>
    <x v="0"/>
    <x v="22"/>
    <x v="1"/>
    <n v="4"/>
    <n v="500"/>
    <n v="2000"/>
    <n v="30"/>
    <n v="40"/>
  </r>
  <r>
    <x v="342"/>
    <n v="1"/>
    <n v="11"/>
    <n v="2023"/>
    <s v="Wednesday"/>
    <s v="November"/>
    <d v="2023-11-01T00:00:00"/>
    <x v="342"/>
    <x v="0"/>
    <x v="1"/>
    <x v="34"/>
    <x v="2"/>
    <n v="2"/>
    <n v="25"/>
    <n v="50"/>
    <n v="0.75"/>
    <n v="1"/>
  </r>
  <r>
    <x v="343"/>
    <n v="21"/>
    <n v="1"/>
    <n v="2023"/>
    <s v="Saturday"/>
    <s v="January"/>
    <d v="2023-01-21T00:00:00"/>
    <x v="343"/>
    <x v="1"/>
    <x v="0"/>
    <x v="13"/>
    <x v="0"/>
    <n v="1"/>
    <n v="30"/>
    <n v="30"/>
    <n v="0.44999999999999996"/>
    <n v="0.6"/>
  </r>
  <r>
    <x v="344"/>
    <n v="14"/>
    <n v="11"/>
    <n v="2023"/>
    <s v="Tuesday"/>
    <s v="November"/>
    <d v="2023-11-14T00:00:00"/>
    <x v="344"/>
    <x v="0"/>
    <x v="0"/>
    <x v="17"/>
    <x v="2"/>
    <n v="1"/>
    <n v="30"/>
    <n v="30"/>
    <n v="0.44999999999999996"/>
    <n v="0.6"/>
  </r>
  <r>
    <x v="345"/>
    <n v="11"/>
    <n v="2"/>
    <n v="2023"/>
    <s v="Saturday"/>
    <s v="February"/>
    <d v="2023-02-11T00:00:00"/>
    <x v="345"/>
    <x v="0"/>
    <x v="0"/>
    <x v="42"/>
    <x v="1"/>
    <n v="2"/>
    <n v="500"/>
    <n v="1000"/>
    <n v="15"/>
    <n v="20"/>
  </r>
  <r>
    <x v="346"/>
    <n v="3"/>
    <n v="8"/>
    <n v="2023"/>
    <s v="Thursday"/>
    <s v="August"/>
    <d v="2023-08-03T00:00:00"/>
    <x v="346"/>
    <x v="0"/>
    <x v="0"/>
    <x v="13"/>
    <x v="2"/>
    <n v="1"/>
    <n v="25"/>
    <n v="25"/>
    <n v="0.375"/>
    <n v="0.5"/>
  </r>
  <r>
    <x v="347"/>
    <n v="3"/>
    <n v="12"/>
    <n v="2023"/>
    <s v="Sunday"/>
    <s v="December"/>
    <d v="2023-12-03T00:00:00"/>
    <x v="347"/>
    <x v="1"/>
    <x v="0"/>
    <x v="10"/>
    <x v="2"/>
    <n v="2"/>
    <n v="300"/>
    <n v="600"/>
    <n v="9"/>
    <n v="12"/>
  </r>
  <r>
    <x v="348"/>
    <n v="26"/>
    <n v="10"/>
    <n v="2023"/>
    <s v="Thursday"/>
    <s v="October"/>
    <d v="2023-10-26T00:00:00"/>
    <x v="348"/>
    <x v="1"/>
    <x v="0"/>
    <x v="35"/>
    <x v="0"/>
    <n v="1"/>
    <n v="50"/>
    <n v="50"/>
    <n v="0.75"/>
    <n v="1"/>
  </r>
  <r>
    <x v="349"/>
    <n v="17"/>
    <n v="10"/>
    <n v="2023"/>
    <s v="Tuesday"/>
    <s v="October"/>
    <d v="2023-10-17T00:00:00"/>
    <x v="349"/>
    <x v="0"/>
    <x v="1"/>
    <x v="36"/>
    <x v="0"/>
    <n v="3"/>
    <n v="25"/>
    <n v="75"/>
    <n v="1.125"/>
    <n v="1.5"/>
  </r>
  <r>
    <x v="350"/>
    <n v="25"/>
    <n v="9"/>
    <n v="2023"/>
    <s v="Monday"/>
    <s v="September"/>
    <d v="2023-09-25T00:00:00"/>
    <x v="350"/>
    <x v="1"/>
    <x v="0"/>
    <x v="37"/>
    <x v="1"/>
    <n v="3"/>
    <n v="30"/>
    <n v="90"/>
    <n v="1.3499999999999999"/>
    <n v="1.8"/>
  </r>
  <r>
    <x v="351"/>
    <n v="11"/>
    <n v="6"/>
    <n v="2023"/>
    <s v="Sunday"/>
    <s v="June"/>
    <d v="2023-06-11T00:00:00"/>
    <x v="351"/>
    <x v="0"/>
    <x v="0"/>
    <x v="35"/>
    <x v="2"/>
    <n v="2"/>
    <n v="500"/>
    <n v="1000"/>
    <n v="15"/>
    <n v="20"/>
  </r>
  <r>
    <x v="352"/>
    <n v="14"/>
    <n v="5"/>
    <n v="2023"/>
    <s v="Sunday"/>
    <s v="May"/>
    <d v="2023-05-14T00:00:00"/>
    <x v="352"/>
    <x v="0"/>
    <x v="0"/>
    <x v="33"/>
    <x v="2"/>
    <n v="1"/>
    <n v="500"/>
    <n v="500"/>
    <n v="7.5"/>
    <n v="10"/>
  </r>
  <r>
    <x v="353"/>
    <n v="15"/>
    <n v="4"/>
    <n v="2023"/>
    <s v="Saturday"/>
    <s v="April"/>
    <d v="2023-04-15T00:00:00"/>
    <x v="353"/>
    <x v="1"/>
    <x v="0"/>
    <x v="19"/>
    <x v="0"/>
    <n v="4"/>
    <n v="50"/>
    <n v="200"/>
    <n v="3"/>
    <n v="4"/>
  </r>
  <r>
    <x v="354"/>
    <n v="9"/>
    <n v="12"/>
    <n v="2023"/>
    <s v="Saturday"/>
    <s v="December"/>
    <d v="2023-12-09T00:00:00"/>
    <x v="354"/>
    <x v="1"/>
    <x v="0"/>
    <x v="28"/>
    <x v="2"/>
    <n v="1"/>
    <n v="500"/>
    <n v="500"/>
    <n v="7.5"/>
    <n v="10"/>
  </r>
  <r>
    <x v="355"/>
    <n v="10"/>
    <n v="6"/>
    <n v="2023"/>
    <s v="Saturday"/>
    <s v="June"/>
    <d v="2023-06-10T00:00:00"/>
    <x v="355"/>
    <x v="0"/>
    <x v="0"/>
    <x v="2"/>
    <x v="2"/>
    <n v="3"/>
    <n v="500"/>
    <n v="1500"/>
    <n v="22.5"/>
    <n v="30"/>
  </r>
  <r>
    <x v="356"/>
    <n v="3"/>
    <n v="5"/>
    <n v="2023"/>
    <s v="Wednesday"/>
    <s v="May"/>
    <d v="2023-05-03T00:00:00"/>
    <x v="356"/>
    <x v="1"/>
    <x v="0"/>
    <x v="30"/>
    <x v="2"/>
    <n v="3"/>
    <n v="25"/>
    <n v="75"/>
    <n v="1.125"/>
    <n v="1.5"/>
  </r>
  <r>
    <x v="357"/>
    <n v="16"/>
    <n v="5"/>
    <n v="2023"/>
    <s v="Tuesday"/>
    <s v="May"/>
    <d v="2023-05-16T00:00:00"/>
    <x v="357"/>
    <x v="1"/>
    <x v="0"/>
    <x v="40"/>
    <x v="0"/>
    <n v="1"/>
    <n v="300"/>
    <n v="300"/>
    <n v="4.5"/>
    <n v="6"/>
  </r>
  <r>
    <x v="358"/>
    <n v="22"/>
    <n v="7"/>
    <n v="2023"/>
    <s v="Saturday"/>
    <s v="July"/>
    <d v="2023-07-22T00:00:00"/>
    <x v="358"/>
    <x v="0"/>
    <x v="0"/>
    <x v="2"/>
    <x v="1"/>
    <n v="1"/>
    <n v="50"/>
    <n v="50"/>
    <n v="0.75"/>
    <n v="1"/>
  </r>
  <r>
    <x v="359"/>
    <n v="9"/>
    <n v="3"/>
    <n v="2023"/>
    <s v="Thursday"/>
    <s v="March"/>
    <d v="2023-03-09T00:00:00"/>
    <x v="359"/>
    <x v="0"/>
    <x v="0"/>
    <x v="13"/>
    <x v="1"/>
    <n v="4"/>
    <n v="25"/>
    <n v="100"/>
    <n v="1.5"/>
    <n v="2"/>
  </r>
  <r>
    <x v="360"/>
    <n v="10"/>
    <n v="12"/>
    <n v="2023"/>
    <s v="Sunday"/>
    <s v="December"/>
    <d v="2023-12-10T00:00:00"/>
    <x v="360"/>
    <x v="1"/>
    <x v="0"/>
    <x v="0"/>
    <x v="2"/>
    <n v="4"/>
    <n v="300"/>
    <n v="1200"/>
    <n v="18"/>
    <n v="24"/>
  </r>
  <r>
    <x v="361"/>
    <n v="27"/>
    <n v="11"/>
    <n v="2023"/>
    <s v="Monday"/>
    <s v="November"/>
    <d v="2023-11-27T00:00:00"/>
    <x v="361"/>
    <x v="0"/>
    <x v="0"/>
    <x v="2"/>
    <x v="1"/>
    <n v="1"/>
    <n v="25"/>
    <n v="25"/>
    <n v="0.375"/>
    <n v="0.5"/>
  </r>
  <r>
    <x v="362"/>
    <n v="3"/>
    <n v="6"/>
    <n v="2023"/>
    <s v="Saturday"/>
    <s v="June"/>
    <d v="2023-06-03T00:00:00"/>
    <x v="362"/>
    <x v="0"/>
    <x v="0"/>
    <x v="12"/>
    <x v="0"/>
    <n v="1"/>
    <n v="25"/>
    <n v="25"/>
    <n v="0.375"/>
    <n v="0.5"/>
  </r>
  <r>
    <x v="363"/>
    <n v="23"/>
    <n v="8"/>
    <n v="2023"/>
    <s v="Wednesday"/>
    <s v="August"/>
    <d v="2023-08-23T00:00:00"/>
    <x v="363"/>
    <x v="1"/>
    <x v="1"/>
    <x v="14"/>
    <x v="0"/>
    <n v="1"/>
    <n v="500"/>
    <n v="500"/>
    <n v="7.5"/>
    <n v="10"/>
  </r>
  <r>
    <x v="364"/>
    <n v="11"/>
    <n v="6"/>
    <n v="2023"/>
    <s v="Sunday"/>
    <s v="June"/>
    <d v="2023-06-11T00:00:00"/>
    <x v="364"/>
    <x v="0"/>
    <x v="0"/>
    <x v="33"/>
    <x v="1"/>
    <n v="1"/>
    <n v="300"/>
    <n v="300"/>
    <n v="4.5"/>
    <n v="6"/>
  </r>
  <r>
    <x v="365"/>
    <n v="7"/>
    <n v="2"/>
    <n v="2023"/>
    <s v="Tuesday"/>
    <s v="February"/>
    <d v="2023-02-07T00:00:00"/>
    <x v="365"/>
    <x v="0"/>
    <x v="0"/>
    <x v="35"/>
    <x v="1"/>
    <n v="2"/>
    <n v="50"/>
    <n v="100"/>
    <n v="1.5"/>
    <n v="2"/>
  </r>
  <r>
    <x v="366"/>
    <n v="5"/>
    <n v="1"/>
    <n v="2023"/>
    <s v="Thursday"/>
    <s v="January"/>
    <d v="2023-01-05T00:00:00"/>
    <x v="366"/>
    <x v="1"/>
    <x v="0"/>
    <x v="35"/>
    <x v="2"/>
    <n v="1"/>
    <n v="50"/>
    <n v="50"/>
    <n v="0.75"/>
    <n v="1"/>
  </r>
  <r>
    <x v="367"/>
    <n v="23"/>
    <n v="8"/>
    <n v="2023"/>
    <s v="Wednesday"/>
    <s v="August"/>
    <d v="2023-08-23T00:00:00"/>
    <x v="367"/>
    <x v="1"/>
    <x v="0"/>
    <x v="37"/>
    <x v="1"/>
    <n v="4"/>
    <n v="300"/>
    <n v="1200"/>
    <n v="18"/>
    <n v="24"/>
  </r>
  <r>
    <x v="368"/>
    <n v="15"/>
    <n v="11"/>
    <n v="2023"/>
    <s v="Wednesday"/>
    <s v="November"/>
    <d v="2023-11-15T00:00:00"/>
    <x v="368"/>
    <x v="0"/>
    <x v="1"/>
    <x v="9"/>
    <x v="2"/>
    <n v="3"/>
    <n v="500"/>
    <n v="1500"/>
    <n v="22.5"/>
    <n v="30"/>
  </r>
  <r>
    <x v="369"/>
    <n v="16"/>
    <n v="10"/>
    <n v="2023"/>
    <s v="Monday"/>
    <s v="October"/>
    <d v="2023-10-16T00:00:00"/>
    <x v="369"/>
    <x v="0"/>
    <x v="1"/>
    <x v="9"/>
    <x v="2"/>
    <n v="2"/>
    <n v="30"/>
    <n v="60"/>
    <n v="0.89999999999999991"/>
    <n v="1.2"/>
  </r>
  <r>
    <x v="370"/>
    <n v="21"/>
    <n v="2"/>
    <n v="2023"/>
    <s v="Tuesday"/>
    <s v="February"/>
    <d v="2023-02-21T00:00:00"/>
    <x v="370"/>
    <x v="1"/>
    <x v="1"/>
    <x v="29"/>
    <x v="0"/>
    <n v="1"/>
    <n v="25"/>
    <n v="25"/>
    <n v="0.375"/>
    <n v="0.5"/>
  </r>
  <r>
    <x v="371"/>
    <n v="7"/>
    <n v="2"/>
    <n v="2023"/>
    <s v="Tuesday"/>
    <s v="February"/>
    <d v="2023-02-07T00:00:00"/>
    <x v="371"/>
    <x v="1"/>
    <x v="1"/>
    <x v="46"/>
    <x v="0"/>
    <n v="3"/>
    <n v="500"/>
    <n v="1500"/>
    <n v="22.5"/>
    <n v="30"/>
  </r>
  <r>
    <x v="372"/>
    <n v="3"/>
    <n v="10"/>
    <n v="2023"/>
    <s v="Tuesday"/>
    <s v="October"/>
    <d v="2023-10-03T00:00:00"/>
    <x v="372"/>
    <x v="1"/>
    <x v="1"/>
    <x v="36"/>
    <x v="0"/>
    <n v="2"/>
    <n v="300"/>
    <n v="600"/>
    <n v="9"/>
    <n v="12"/>
  </r>
  <r>
    <x v="373"/>
    <n v="20"/>
    <n v="4"/>
    <n v="2023"/>
    <s v="Thursday"/>
    <s v="April"/>
    <d v="2023-04-20T00:00:00"/>
    <x v="373"/>
    <x v="1"/>
    <x v="0"/>
    <x v="42"/>
    <x v="0"/>
    <n v="3"/>
    <n v="25"/>
    <n v="75"/>
    <n v="1.125"/>
    <n v="1.5"/>
  </r>
  <r>
    <x v="374"/>
    <n v="17"/>
    <n v="9"/>
    <n v="2023"/>
    <s v="Sunday"/>
    <s v="September"/>
    <d v="2023-09-17T00:00:00"/>
    <x v="374"/>
    <x v="0"/>
    <x v="0"/>
    <x v="40"/>
    <x v="1"/>
    <n v="1"/>
    <n v="50"/>
    <n v="50"/>
    <n v="0.75"/>
    <n v="1"/>
  </r>
  <r>
    <x v="375"/>
    <n v="16"/>
    <n v="5"/>
    <n v="2023"/>
    <s v="Tuesday"/>
    <s v="May"/>
    <d v="2023-05-16T00:00:00"/>
    <x v="375"/>
    <x v="1"/>
    <x v="0"/>
    <x v="12"/>
    <x v="0"/>
    <n v="1"/>
    <n v="30"/>
    <n v="30"/>
    <n v="0.44999999999999996"/>
    <n v="0.6"/>
  </r>
  <r>
    <x v="376"/>
    <n v="9"/>
    <n v="3"/>
    <n v="2023"/>
    <s v="Thursday"/>
    <s v="March"/>
    <d v="2023-03-09T00:00:00"/>
    <x v="376"/>
    <x v="1"/>
    <x v="0"/>
    <x v="6"/>
    <x v="1"/>
    <n v="4"/>
    <n v="50"/>
    <n v="200"/>
    <n v="3"/>
    <n v="4"/>
  </r>
  <r>
    <x v="377"/>
    <n v="28"/>
    <n v="6"/>
    <n v="2023"/>
    <s v="Wednesday"/>
    <s v="June"/>
    <d v="2023-06-28T00:00:00"/>
    <x v="377"/>
    <x v="0"/>
    <x v="0"/>
    <x v="2"/>
    <x v="0"/>
    <n v="1"/>
    <n v="300"/>
    <n v="300"/>
    <n v="4.5"/>
    <n v="6"/>
  </r>
  <r>
    <x v="378"/>
    <n v="5"/>
    <n v="2"/>
    <n v="2023"/>
    <s v="Sunday"/>
    <s v="February"/>
    <d v="2023-02-05T00:00:00"/>
    <x v="378"/>
    <x v="1"/>
    <x v="0"/>
    <x v="16"/>
    <x v="1"/>
    <n v="1"/>
    <n v="25"/>
    <n v="25"/>
    <n v="0.375"/>
    <n v="0.5"/>
  </r>
  <r>
    <x v="379"/>
    <n v="6"/>
    <n v="5"/>
    <n v="2023"/>
    <s v="Saturday"/>
    <s v="May"/>
    <d v="2023-05-06T00:00:00"/>
    <x v="379"/>
    <x v="0"/>
    <x v="0"/>
    <x v="37"/>
    <x v="2"/>
    <n v="2"/>
    <n v="300"/>
    <n v="600"/>
    <n v="9"/>
    <n v="12"/>
  </r>
  <r>
    <x v="380"/>
    <n v="9"/>
    <n v="7"/>
    <n v="2023"/>
    <s v="Sunday"/>
    <s v="July"/>
    <d v="2023-07-09T00:00:00"/>
    <x v="380"/>
    <x v="1"/>
    <x v="0"/>
    <x v="24"/>
    <x v="1"/>
    <n v="4"/>
    <n v="25"/>
    <n v="100"/>
    <n v="1.5"/>
    <n v="2"/>
  </r>
  <r>
    <x v="381"/>
    <n v="26"/>
    <n v="5"/>
    <n v="2023"/>
    <s v="Friday"/>
    <s v="May"/>
    <d v="2023-05-26T00:00:00"/>
    <x v="381"/>
    <x v="1"/>
    <x v="0"/>
    <x v="45"/>
    <x v="1"/>
    <n v="2"/>
    <n v="500"/>
    <n v="1000"/>
    <n v="15"/>
    <n v="20"/>
  </r>
  <r>
    <x v="382"/>
    <n v="22"/>
    <n v="3"/>
    <n v="2023"/>
    <s v="Wednesday"/>
    <s v="March"/>
    <d v="2023-03-22T00:00:00"/>
    <x v="382"/>
    <x v="1"/>
    <x v="0"/>
    <x v="6"/>
    <x v="0"/>
    <n v="3"/>
    <n v="30"/>
    <n v="90"/>
    <n v="1.3499999999999999"/>
    <n v="1.8"/>
  </r>
  <r>
    <x v="383"/>
    <n v="13"/>
    <n v="8"/>
    <n v="2023"/>
    <s v="Sunday"/>
    <s v="August"/>
    <d v="2023-08-13T00:00:00"/>
    <x v="383"/>
    <x v="0"/>
    <x v="0"/>
    <x v="28"/>
    <x v="1"/>
    <n v="1"/>
    <n v="500"/>
    <n v="500"/>
    <n v="7.5"/>
    <n v="10"/>
  </r>
  <r>
    <x v="384"/>
    <n v="6"/>
    <n v="10"/>
    <n v="2023"/>
    <s v="Friday"/>
    <s v="October"/>
    <d v="2023-10-06T00:00:00"/>
    <x v="384"/>
    <x v="0"/>
    <x v="0"/>
    <x v="2"/>
    <x v="2"/>
    <n v="3"/>
    <n v="500"/>
    <n v="1500"/>
    <n v="22.5"/>
    <n v="30"/>
  </r>
  <r>
    <x v="385"/>
    <n v="27"/>
    <n v="12"/>
    <n v="2023"/>
    <s v="Wednesday"/>
    <s v="December"/>
    <d v="2023-12-27T00:00:00"/>
    <x v="385"/>
    <x v="1"/>
    <x v="0"/>
    <x v="31"/>
    <x v="2"/>
    <n v="2"/>
    <n v="300"/>
    <n v="600"/>
    <n v="9"/>
    <n v="12"/>
  </r>
  <r>
    <x v="386"/>
    <n v="4"/>
    <n v="6"/>
    <n v="2023"/>
    <s v="Sunday"/>
    <s v="June"/>
    <d v="2023-06-04T00:00:00"/>
    <x v="386"/>
    <x v="0"/>
    <x v="0"/>
    <x v="24"/>
    <x v="0"/>
    <n v="1"/>
    <n v="30"/>
    <n v="30"/>
    <n v="0.44999999999999996"/>
    <n v="0.6"/>
  </r>
  <r>
    <x v="387"/>
    <n v="10"/>
    <n v="11"/>
    <n v="2023"/>
    <s v="Friday"/>
    <s v="November"/>
    <d v="2023-11-10T00:00:00"/>
    <x v="387"/>
    <x v="0"/>
    <x v="0"/>
    <x v="2"/>
    <x v="2"/>
    <n v="1"/>
    <n v="25"/>
    <n v="25"/>
    <n v="0.375"/>
    <n v="0.5"/>
  </r>
  <r>
    <x v="388"/>
    <n v="1"/>
    <n v="12"/>
    <n v="2023"/>
    <s v="Friday"/>
    <s v="December"/>
    <d v="2023-12-01T00:00:00"/>
    <x v="388"/>
    <x v="0"/>
    <x v="1"/>
    <x v="34"/>
    <x v="1"/>
    <n v="2"/>
    <n v="25"/>
    <n v="50"/>
    <n v="0.75"/>
    <n v="1"/>
  </r>
  <r>
    <x v="389"/>
    <n v="28"/>
    <n v="9"/>
    <n v="2023"/>
    <s v="Thursday"/>
    <s v="September"/>
    <d v="2023-09-28T00:00:00"/>
    <x v="389"/>
    <x v="0"/>
    <x v="0"/>
    <x v="23"/>
    <x v="2"/>
    <n v="2"/>
    <n v="50"/>
    <n v="100"/>
    <n v="1.5"/>
    <n v="2"/>
  </r>
  <r>
    <x v="390"/>
    <n v="5"/>
    <n v="1"/>
    <n v="2023"/>
    <s v="Thursday"/>
    <s v="January"/>
    <d v="2023-01-05T00:00:00"/>
    <x v="390"/>
    <x v="0"/>
    <x v="1"/>
    <x v="14"/>
    <x v="0"/>
    <n v="2"/>
    <n v="25"/>
    <n v="50"/>
    <n v="0.75"/>
    <n v="1"/>
  </r>
  <r>
    <x v="391"/>
    <n v="8"/>
    <n v="12"/>
    <n v="2023"/>
    <s v="Friday"/>
    <s v="December"/>
    <d v="2023-12-08T00:00:00"/>
    <x v="391"/>
    <x v="0"/>
    <x v="1"/>
    <x v="15"/>
    <x v="1"/>
    <n v="2"/>
    <n v="300"/>
    <n v="600"/>
    <n v="9"/>
    <n v="12"/>
  </r>
  <r>
    <x v="392"/>
    <n v="11"/>
    <n v="10"/>
    <n v="2023"/>
    <s v="Wednesday"/>
    <s v="October"/>
    <d v="2023-10-11T00:00:00"/>
    <x v="392"/>
    <x v="1"/>
    <x v="1"/>
    <x v="11"/>
    <x v="0"/>
    <n v="2"/>
    <n v="500"/>
    <n v="1000"/>
    <n v="15"/>
    <n v="20"/>
  </r>
  <r>
    <x v="393"/>
    <n v="3"/>
    <n v="6"/>
    <n v="2023"/>
    <s v="Saturday"/>
    <s v="June"/>
    <d v="2023-06-03T00:00:00"/>
    <x v="393"/>
    <x v="1"/>
    <x v="1"/>
    <x v="15"/>
    <x v="1"/>
    <n v="1"/>
    <n v="500"/>
    <n v="500"/>
    <n v="7.5"/>
    <n v="10"/>
  </r>
  <r>
    <x v="394"/>
    <n v="6"/>
    <n v="12"/>
    <n v="2023"/>
    <s v="Wednesday"/>
    <s v="December"/>
    <d v="2023-12-06T00:00:00"/>
    <x v="394"/>
    <x v="0"/>
    <x v="0"/>
    <x v="2"/>
    <x v="2"/>
    <n v="2"/>
    <n v="500"/>
    <n v="1000"/>
    <n v="15"/>
    <n v="20"/>
  </r>
  <r>
    <x v="395"/>
    <n v="23"/>
    <n v="2"/>
    <n v="2023"/>
    <s v="Thursday"/>
    <s v="February"/>
    <d v="2023-02-23T00:00:00"/>
    <x v="395"/>
    <x v="1"/>
    <x v="0"/>
    <x v="28"/>
    <x v="0"/>
    <n v="1"/>
    <n v="30"/>
    <n v="30"/>
    <n v="0.44999999999999996"/>
    <n v="0.6"/>
  </r>
  <r>
    <x v="396"/>
    <n v="10"/>
    <n v="3"/>
    <n v="2023"/>
    <s v="Friday"/>
    <s v="March"/>
    <d v="2023-03-10T00:00:00"/>
    <x v="396"/>
    <x v="1"/>
    <x v="0"/>
    <x v="4"/>
    <x v="0"/>
    <n v="1"/>
    <n v="25"/>
    <n v="25"/>
    <n v="0.375"/>
    <n v="0.5"/>
  </r>
  <r>
    <x v="397"/>
    <n v="16"/>
    <n v="5"/>
    <n v="2023"/>
    <s v="Tuesday"/>
    <s v="May"/>
    <d v="2023-05-16T00:00:00"/>
    <x v="397"/>
    <x v="1"/>
    <x v="0"/>
    <x v="27"/>
    <x v="1"/>
    <n v="2"/>
    <n v="300"/>
    <n v="600"/>
    <n v="9"/>
    <n v="12"/>
  </r>
  <r>
    <x v="398"/>
    <n v="1"/>
    <n v="3"/>
    <n v="2023"/>
    <s v="Wednesday"/>
    <s v="March"/>
    <d v="2023-03-01T00:00:00"/>
    <x v="398"/>
    <x v="1"/>
    <x v="0"/>
    <x v="12"/>
    <x v="0"/>
    <n v="2"/>
    <n v="30"/>
    <n v="60"/>
    <n v="0.89999999999999991"/>
    <n v="1.2"/>
  </r>
  <r>
    <x v="399"/>
    <n v="24"/>
    <n v="2"/>
    <n v="2023"/>
    <s v="Friday"/>
    <s v="February"/>
    <d v="2023-02-24T00:00:00"/>
    <x v="399"/>
    <x v="0"/>
    <x v="0"/>
    <x v="45"/>
    <x v="1"/>
    <n v="4"/>
    <n v="50"/>
    <n v="200"/>
    <n v="3"/>
    <n v="4"/>
  </r>
  <r>
    <x v="400"/>
    <n v="11"/>
    <n v="10"/>
    <n v="2023"/>
    <s v="Wednesday"/>
    <s v="October"/>
    <d v="2023-10-11T00:00:00"/>
    <x v="400"/>
    <x v="1"/>
    <x v="0"/>
    <x v="17"/>
    <x v="1"/>
    <n v="1"/>
    <n v="300"/>
    <n v="300"/>
    <n v="4.5"/>
    <n v="6"/>
  </r>
  <r>
    <x v="401"/>
    <n v="21"/>
    <n v="3"/>
    <n v="2023"/>
    <s v="Tuesday"/>
    <s v="March"/>
    <d v="2023-03-21T00:00:00"/>
    <x v="401"/>
    <x v="1"/>
    <x v="0"/>
    <x v="41"/>
    <x v="1"/>
    <n v="2"/>
    <n v="300"/>
    <n v="600"/>
    <n v="9"/>
    <n v="12"/>
  </r>
  <r>
    <x v="402"/>
    <n v="20"/>
    <n v="5"/>
    <n v="2023"/>
    <s v="Saturday"/>
    <s v="May"/>
    <d v="2023-05-20T00:00:00"/>
    <x v="402"/>
    <x v="0"/>
    <x v="0"/>
    <x v="40"/>
    <x v="1"/>
    <n v="2"/>
    <n v="300"/>
    <n v="600"/>
    <n v="9"/>
    <n v="12"/>
  </r>
  <r>
    <x v="403"/>
    <n v="25"/>
    <n v="5"/>
    <n v="2023"/>
    <s v="Thursday"/>
    <s v="May"/>
    <d v="2023-05-25T00:00:00"/>
    <x v="403"/>
    <x v="0"/>
    <x v="0"/>
    <x v="6"/>
    <x v="2"/>
    <n v="2"/>
    <n v="500"/>
    <n v="1000"/>
    <n v="15"/>
    <n v="20"/>
  </r>
  <r>
    <x v="404"/>
    <n v="6"/>
    <n v="11"/>
    <n v="2023"/>
    <s v="Monday"/>
    <s v="November"/>
    <d v="2023-11-06T00:00:00"/>
    <x v="404"/>
    <x v="1"/>
    <x v="1"/>
    <x v="36"/>
    <x v="1"/>
    <n v="4"/>
    <n v="300"/>
    <n v="1200"/>
    <n v="18"/>
    <n v="24"/>
  </r>
  <r>
    <x v="405"/>
    <n v="18"/>
    <n v="4"/>
    <n v="2023"/>
    <s v="Tuesday"/>
    <s v="April"/>
    <d v="2023-04-18T00:00:00"/>
    <x v="405"/>
    <x v="1"/>
    <x v="1"/>
    <x v="11"/>
    <x v="0"/>
    <n v="4"/>
    <n v="25"/>
    <n v="100"/>
    <n v="1.5"/>
    <n v="2"/>
  </r>
  <r>
    <x v="406"/>
    <n v="25"/>
    <n v="6"/>
    <n v="2023"/>
    <s v="Sunday"/>
    <s v="June"/>
    <d v="2023-06-25T00:00:00"/>
    <x v="406"/>
    <x v="1"/>
    <x v="0"/>
    <x v="6"/>
    <x v="2"/>
    <n v="3"/>
    <n v="300"/>
    <n v="900"/>
    <n v="13.5"/>
    <n v="18"/>
  </r>
  <r>
    <x v="407"/>
    <n v="15"/>
    <n v="4"/>
    <n v="2023"/>
    <s v="Saturday"/>
    <s v="April"/>
    <d v="2023-04-15T00:00:00"/>
    <x v="407"/>
    <x v="1"/>
    <x v="0"/>
    <x v="12"/>
    <x v="0"/>
    <n v="1"/>
    <n v="500"/>
    <n v="500"/>
    <n v="7.5"/>
    <n v="10"/>
  </r>
  <r>
    <x v="408"/>
    <n v="18"/>
    <n v="12"/>
    <n v="2023"/>
    <s v="Monday"/>
    <s v="December"/>
    <d v="2023-12-18T00:00:00"/>
    <x v="408"/>
    <x v="1"/>
    <x v="1"/>
    <x v="34"/>
    <x v="2"/>
    <n v="3"/>
    <n v="300"/>
    <n v="900"/>
    <n v="13.5"/>
    <n v="18"/>
  </r>
  <r>
    <x v="409"/>
    <n v="21"/>
    <n v="11"/>
    <n v="2023"/>
    <s v="Tuesday"/>
    <s v="November"/>
    <d v="2023-11-21T00:00:00"/>
    <x v="409"/>
    <x v="1"/>
    <x v="1"/>
    <x v="38"/>
    <x v="1"/>
    <n v="2"/>
    <n v="50"/>
    <n v="100"/>
    <n v="1.5"/>
    <n v="2"/>
  </r>
  <r>
    <x v="410"/>
    <n v="16"/>
    <n v="5"/>
    <n v="2023"/>
    <s v="Tuesday"/>
    <s v="May"/>
    <d v="2023-05-16T00:00:00"/>
    <x v="410"/>
    <x v="0"/>
    <x v="0"/>
    <x v="17"/>
    <x v="2"/>
    <n v="4"/>
    <n v="50"/>
    <n v="200"/>
    <n v="3"/>
    <n v="4"/>
  </r>
  <r>
    <x v="411"/>
    <n v="16"/>
    <n v="9"/>
    <n v="2023"/>
    <s v="Saturday"/>
    <s v="September"/>
    <d v="2023-09-16T00:00:00"/>
    <x v="411"/>
    <x v="1"/>
    <x v="1"/>
    <x v="14"/>
    <x v="2"/>
    <n v="4"/>
    <n v="500"/>
    <n v="2000"/>
    <n v="30"/>
    <n v="40"/>
  </r>
  <r>
    <x v="412"/>
    <n v="8"/>
    <n v="9"/>
    <n v="2023"/>
    <s v="Friday"/>
    <s v="September"/>
    <d v="2023-09-08T00:00:00"/>
    <x v="412"/>
    <x v="1"/>
    <x v="0"/>
    <x v="24"/>
    <x v="0"/>
    <n v="3"/>
    <n v="25"/>
    <n v="75"/>
    <n v="1.125"/>
    <n v="1.5"/>
  </r>
  <r>
    <x v="413"/>
    <n v="9"/>
    <n v="5"/>
    <n v="2023"/>
    <s v="Tuesday"/>
    <s v="May"/>
    <d v="2023-05-09T00:00:00"/>
    <x v="413"/>
    <x v="0"/>
    <x v="0"/>
    <x v="27"/>
    <x v="0"/>
    <n v="4"/>
    <n v="25"/>
    <n v="100"/>
    <n v="1.5"/>
    <n v="2"/>
  </r>
  <r>
    <x v="414"/>
    <n v="27"/>
    <n v="1"/>
    <n v="2023"/>
    <s v="Friday"/>
    <s v="January"/>
    <d v="2023-01-27T00:00:00"/>
    <x v="414"/>
    <x v="0"/>
    <x v="0"/>
    <x v="45"/>
    <x v="1"/>
    <n v="2"/>
    <n v="30"/>
    <n v="60"/>
    <n v="0.89999999999999991"/>
    <n v="1.2"/>
  </r>
  <r>
    <x v="415"/>
    <n v="17"/>
    <n v="2"/>
    <n v="2023"/>
    <s v="Friday"/>
    <s v="February"/>
    <d v="2023-02-17T00:00:00"/>
    <x v="415"/>
    <x v="0"/>
    <x v="0"/>
    <x v="45"/>
    <x v="2"/>
    <n v="4"/>
    <n v="500"/>
    <n v="2000"/>
    <n v="30"/>
    <n v="40"/>
  </r>
  <r>
    <x v="416"/>
    <n v="21"/>
    <n v="11"/>
    <n v="2023"/>
    <s v="Tuesday"/>
    <s v="November"/>
    <d v="2023-11-21T00:00:00"/>
    <x v="416"/>
    <x v="0"/>
    <x v="0"/>
    <x v="22"/>
    <x v="2"/>
    <n v="3"/>
    <n v="300"/>
    <n v="900"/>
    <n v="13.5"/>
    <n v="18"/>
  </r>
  <r>
    <x v="417"/>
    <n v="5"/>
    <n v="8"/>
    <n v="2023"/>
    <s v="Saturday"/>
    <s v="August"/>
    <d v="2023-08-05T00:00:00"/>
    <x v="417"/>
    <x v="1"/>
    <x v="0"/>
    <x v="43"/>
    <x v="2"/>
    <n v="2"/>
    <n v="500"/>
    <n v="1000"/>
    <n v="15"/>
    <n v="20"/>
  </r>
  <r>
    <x v="418"/>
    <n v="22"/>
    <n v="5"/>
    <n v="2023"/>
    <s v="Monday"/>
    <s v="May"/>
    <d v="2023-05-22T00:00:00"/>
    <x v="418"/>
    <x v="1"/>
    <x v="0"/>
    <x v="24"/>
    <x v="1"/>
    <n v="3"/>
    <n v="30"/>
    <n v="90"/>
    <n v="1.3499999999999999"/>
    <n v="1.8"/>
  </r>
  <r>
    <x v="419"/>
    <n v="23"/>
    <n v="1"/>
    <n v="2023"/>
    <s v="Monday"/>
    <s v="January"/>
    <d v="2023-01-23T00:00:00"/>
    <x v="419"/>
    <x v="1"/>
    <x v="1"/>
    <x v="11"/>
    <x v="1"/>
    <n v="4"/>
    <n v="500"/>
    <n v="2000"/>
    <n v="30"/>
    <n v="40"/>
  </r>
  <r>
    <x v="420"/>
    <n v="2"/>
    <n v="1"/>
    <n v="2023"/>
    <s v="Monday"/>
    <s v="January"/>
    <d v="2023-01-02T00:00:00"/>
    <x v="420"/>
    <x v="1"/>
    <x v="0"/>
    <x v="3"/>
    <x v="1"/>
    <n v="3"/>
    <n v="500"/>
    <n v="1500"/>
    <n v="22.5"/>
    <n v="30"/>
  </r>
  <r>
    <x v="421"/>
    <n v="20"/>
    <n v="6"/>
    <n v="2023"/>
    <s v="Tuesday"/>
    <s v="June"/>
    <d v="2023-06-20T00:00:00"/>
    <x v="421"/>
    <x v="1"/>
    <x v="1"/>
    <x v="20"/>
    <x v="1"/>
    <n v="3"/>
    <n v="30"/>
    <n v="90"/>
    <n v="1.3499999999999999"/>
    <n v="1.8"/>
  </r>
  <r>
    <x v="422"/>
    <n v="8"/>
    <n v="3"/>
    <n v="2023"/>
    <s v="Wednesday"/>
    <s v="March"/>
    <d v="2023-03-08T00:00:00"/>
    <x v="422"/>
    <x v="1"/>
    <x v="1"/>
    <x v="15"/>
    <x v="1"/>
    <n v="1"/>
    <n v="25"/>
    <n v="25"/>
    <n v="0.375"/>
    <n v="0.5"/>
  </r>
  <r>
    <x v="423"/>
    <n v="23"/>
    <n v="11"/>
    <n v="2023"/>
    <s v="Thursday"/>
    <s v="November"/>
    <d v="2023-11-23T00:00:00"/>
    <x v="423"/>
    <x v="0"/>
    <x v="0"/>
    <x v="35"/>
    <x v="0"/>
    <n v="4"/>
    <n v="300"/>
    <n v="1200"/>
    <n v="18"/>
    <n v="24"/>
  </r>
  <r>
    <x v="424"/>
    <n v="15"/>
    <n v="5"/>
    <n v="2023"/>
    <s v="Monday"/>
    <s v="May"/>
    <d v="2023-05-15T00:00:00"/>
    <x v="424"/>
    <x v="1"/>
    <x v="0"/>
    <x v="28"/>
    <x v="2"/>
    <n v="4"/>
    <n v="30"/>
    <n v="120"/>
    <n v="1.7999999999999998"/>
    <n v="2.4"/>
  </r>
  <r>
    <x v="425"/>
    <n v="24"/>
    <n v="3"/>
    <n v="2023"/>
    <s v="Friday"/>
    <s v="March"/>
    <d v="2023-03-24T00:00:00"/>
    <x v="425"/>
    <x v="0"/>
    <x v="1"/>
    <x v="9"/>
    <x v="2"/>
    <n v="3"/>
    <n v="50"/>
    <n v="150"/>
    <n v="2.25"/>
    <n v="3"/>
  </r>
  <r>
    <x v="426"/>
    <n v="15"/>
    <n v="8"/>
    <n v="2023"/>
    <s v="Tuesday"/>
    <s v="August"/>
    <d v="2023-08-15T00:00:00"/>
    <x v="426"/>
    <x v="0"/>
    <x v="1"/>
    <x v="36"/>
    <x v="2"/>
    <n v="1"/>
    <n v="25"/>
    <n v="25"/>
    <n v="0.375"/>
    <n v="0.5"/>
  </r>
  <r>
    <x v="427"/>
    <n v="10"/>
    <n v="10"/>
    <n v="2023"/>
    <s v="Tuesday"/>
    <s v="October"/>
    <d v="2023-10-10T00:00:00"/>
    <x v="427"/>
    <x v="1"/>
    <x v="0"/>
    <x v="30"/>
    <x v="2"/>
    <n v="4"/>
    <n v="50"/>
    <n v="200"/>
    <n v="3"/>
    <n v="4"/>
  </r>
  <r>
    <x v="428"/>
    <n v="28"/>
    <n v="12"/>
    <n v="2023"/>
    <s v="Thursday"/>
    <s v="December"/>
    <d v="2023-12-28T00:00:00"/>
    <x v="428"/>
    <x v="0"/>
    <x v="0"/>
    <x v="12"/>
    <x v="2"/>
    <n v="2"/>
    <n v="25"/>
    <n v="50"/>
    <n v="0.75"/>
    <n v="1"/>
  </r>
  <r>
    <x v="429"/>
    <n v="7"/>
    <n v="8"/>
    <n v="2023"/>
    <s v="Monday"/>
    <s v="August"/>
    <d v="2023-08-07T00:00:00"/>
    <x v="429"/>
    <x v="1"/>
    <x v="0"/>
    <x v="22"/>
    <x v="2"/>
    <n v="3"/>
    <n v="300"/>
    <n v="900"/>
    <n v="13.5"/>
    <n v="18"/>
  </r>
  <r>
    <x v="430"/>
    <n v="15"/>
    <n v="10"/>
    <n v="2023"/>
    <s v="Sunday"/>
    <s v="October"/>
    <d v="2023-10-15T00:00:00"/>
    <x v="430"/>
    <x v="0"/>
    <x v="0"/>
    <x v="7"/>
    <x v="2"/>
    <n v="4"/>
    <n v="300"/>
    <n v="1200"/>
    <n v="18"/>
    <n v="24"/>
  </r>
  <r>
    <x v="431"/>
    <n v="5"/>
    <n v="1"/>
    <n v="2023"/>
    <s v="Thursday"/>
    <s v="January"/>
    <d v="2023-01-05T00:00:00"/>
    <x v="431"/>
    <x v="1"/>
    <x v="0"/>
    <x v="43"/>
    <x v="2"/>
    <n v="2"/>
    <n v="500"/>
    <n v="1000"/>
    <n v="15"/>
    <n v="20"/>
  </r>
  <r>
    <x v="432"/>
    <n v="27"/>
    <n v="2"/>
    <n v="2023"/>
    <s v="Monday"/>
    <s v="February"/>
    <d v="2023-02-27T00:00:00"/>
    <x v="432"/>
    <x v="0"/>
    <x v="1"/>
    <x v="38"/>
    <x v="0"/>
    <n v="4"/>
    <n v="50"/>
    <n v="200"/>
    <n v="3"/>
    <n v="4"/>
  </r>
  <r>
    <x v="433"/>
    <n v="8"/>
    <n v="2"/>
    <n v="2023"/>
    <s v="Wednesday"/>
    <s v="February"/>
    <d v="2023-02-08T00:00:00"/>
    <x v="433"/>
    <x v="1"/>
    <x v="0"/>
    <x v="22"/>
    <x v="2"/>
    <n v="2"/>
    <n v="25"/>
    <n v="50"/>
    <n v="0.75"/>
    <n v="1"/>
  </r>
  <r>
    <x v="434"/>
    <n v="20"/>
    <n v="12"/>
    <n v="2023"/>
    <s v="Wednesday"/>
    <s v="December"/>
    <d v="2023-12-20T00:00:00"/>
    <x v="434"/>
    <x v="1"/>
    <x v="0"/>
    <x v="4"/>
    <x v="0"/>
    <n v="3"/>
    <n v="300"/>
    <n v="900"/>
    <n v="13.5"/>
    <n v="18"/>
  </r>
  <r>
    <x v="435"/>
    <n v="18"/>
    <n v="3"/>
    <n v="2023"/>
    <s v="Saturday"/>
    <s v="March"/>
    <d v="2023-03-18T00:00:00"/>
    <x v="435"/>
    <x v="1"/>
    <x v="0"/>
    <x v="35"/>
    <x v="1"/>
    <n v="4"/>
    <n v="30"/>
    <n v="120"/>
    <n v="1.7999999999999998"/>
    <n v="2.4"/>
  </r>
  <r>
    <x v="436"/>
    <n v="7"/>
    <n v="10"/>
    <n v="2023"/>
    <s v="Saturday"/>
    <s v="October"/>
    <d v="2023-10-07T00:00:00"/>
    <x v="436"/>
    <x v="1"/>
    <x v="0"/>
    <x v="10"/>
    <x v="2"/>
    <n v="4"/>
    <n v="300"/>
    <n v="1200"/>
    <n v="18"/>
    <n v="24"/>
  </r>
  <r>
    <x v="437"/>
    <n v="19"/>
    <n v="1"/>
    <n v="2023"/>
    <s v="Thursday"/>
    <s v="January"/>
    <d v="2023-01-19T00:00:00"/>
    <x v="437"/>
    <x v="1"/>
    <x v="0"/>
    <x v="13"/>
    <x v="1"/>
    <n v="1"/>
    <n v="30"/>
    <n v="30"/>
    <n v="0.44999999999999996"/>
    <n v="0.6"/>
  </r>
  <r>
    <x v="438"/>
    <n v="9"/>
    <n v="7"/>
    <n v="2023"/>
    <s v="Sunday"/>
    <s v="July"/>
    <d v="2023-07-09T00:00:00"/>
    <x v="438"/>
    <x v="0"/>
    <x v="0"/>
    <x v="2"/>
    <x v="1"/>
    <n v="3"/>
    <n v="25"/>
    <n v="75"/>
    <n v="1.125"/>
    <n v="1.5"/>
  </r>
  <r>
    <x v="439"/>
    <n v="26"/>
    <n v="10"/>
    <n v="2023"/>
    <s v="Thursday"/>
    <s v="October"/>
    <d v="2023-10-26T00:00:00"/>
    <x v="439"/>
    <x v="0"/>
    <x v="0"/>
    <x v="12"/>
    <x v="1"/>
    <n v="2"/>
    <n v="300"/>
    <n v="600"/>
    <n v="9"/>
    <n v="12"/>
  </r>
  <r>
    <x v="440"/>
    <n v="10"/>
    <n v="10"/>
    <n v="2023"/>
    <s v="Tuesday"/>
    <s v="October"/>
    <d v="2023-10-10T00:00:00"/>
    <x v="440"/>
    <x v="0"/>
    <x v="0"/>
    <x v="35"/>
    <x v="0"/>
    <n v="4"/>
    <n v="300"/>
    <n v="1200"/>
    <n v="18"/>
    <n v="24"/>
  </r>
  <r>
    <x v="441"/>
    <n v="17"/>
    <n v="3"/>
    <n v="2023"/>
    <s v="Friday"/>
    <s v="March"/>
    <d v="2023-03-17T00:00:00"/>
    <x v="441"/>
    <x v="1"/>
    <x v="0"/>
    <x v="43"/>
    <x v="1"/>
    <n v="4"/>
    <n v="25"/>
    <n v="100"/>
    <n v="1.5"/>
    <n v="2"/>
  </r>
  <r>
    <x v="442"/>
    <n v="9"/>
    <n v="8"/>
    <n v="2023"/>
    <s v="Wednesday"/>
    <s v="August"/>
    <d v="2023-08-09T00:00:00"/>
    <x v="442"/>
    <x v="0"/>
    <x v="1"/>
    <x v="38"/>
    <x v="1"/>
    <n v="2"/>
    <n v="300"/>
    <n v="600"/>
    <n v="9"/>
    <n v="12"/>
  </r>
  <r>
    <x v="443"/>
    <n v="7"/>
    <n v="3"/>
    <n v="2023"/>
    <s v="Tuesday"/>
    <s v="March"/>
    <d v="2023-03-07T00:00:00"/>
    <x v="443"/>
    <x v="1"/>
    <x v="0"/>
    <x v="39"/>
    <x v="1"/>
    <n v="3"/>
    <n v="30"/>
    <n v="90"/>
    <n v="1.3499999999999999"/>
    <n v="1.8"/>
  </r>
  <r>
    <x v="444"/>
    <n v="22"/>
    <n v="1"/>
    <n v="2023"/>
    <s v="Sunday"/>
    <s v="January"/>
    <d v="2023-01-22T00:00:00"/>
    <x v="444"/>
    <x v="1"/>
    <x v="0"/>
    <x v="45"/>
    <x v="2"/>
    <n v="1"/>
    <n v="300"/>
    <n v="300"/>
    <n v="4.5"/>
    <n v="6"/>
  </r>
  <r>
    <x v="445"/>
    <n v="7"/>
    <n v="6"/>
    <n v="2023"/>
    <s v="Wednesday"/>
    <s v="June"/>
    <d v="2023-06-07T00:00:00"/>
    <x v="445"/>
    <x v="0"/>
    <x v="1"/>
    <x v="34"/>
    <x v="2"/>
    <n v="1"/>
    <n v="50"/>
    <n v="50"/>
    <n v="0.75"/>
    <n v="1"/>
  </r>
  <r>
    <x v="446"/>
    <n v="6"/>
    <n v="7"/>
    <n v="2023"/>
    <s v="Thursday"/>
    <s v="July"/>
    <d v="2023-07-06T00:00:00"/>
    <x v="446"/>
    <x v="0"/>
    <x v="1"/>
    <x v="11"/>
    <x v="0"/>
    <n v="4"/>
    <n v="500"/>
    <n v="2000"/>
    <n v="30"/>
    <n v="40"/>
  </r>
  <r>
    <x v="447"/>
    <n v="21"/>
    <n v="1"/>
    <n v="2023"/>
    <s v="Saturday"/>
    <s v="January"/>
    <d v="2023-01-21T00:00:00"/>
    <x v="447"/>
    <x v="1"/>
    <x v="0"/>
    <x v="31"/>
    <x v="0"/>
    <n v="2"/>
    <n v="30"/>
    <n v="60"/>
    <n v="0.89999999999999991"/>
    <n v="1.2"/>
  </r>
  <r>
    <x v="448"/>
    <n v="3"/>
    <n v="7"/>
    <n v="2023"/>
    <s v="Monday"/>
    <s v="July"/>
    <d v="2023-07-03T00:00:00"/>
    <x v="448"/>
    <x v="0"/>
    <x v="1"/>
    <x v="36"/>
    <x v="2"/>
    <n v="4"/>
    <n v="50"/>
    <n v="200"/>
    <n v="3"/>
    <n v="4"/>
  </r>
  <r>
    <x v="449"/>
    <n v="18"/>
    <n v="4"/>
    <n v="2023"/>
    <s v="Tuesday"/>
    <s v="April"/>
    <d v="2023-04-18T00:00:00"/>
    <x v="449"/>
    <x v="1"/>
    <x v="0"/>
    <x v="42"/>
    <x v="0"/>
    <n v="2"/>
    <n v="25"/>
    <n v="50"/>
    <n v="0.75"/>
    <n v="1"/>
  </r>
  <r>
    <x v="450"/>
    <n v="16"/>
    <n v="12"/>
    <n v="2023"/>
    <s v="Saturday"/>
    <s v="December"/>
    <d v="2023-12-16T00:00:00"/>
    <x v="450"/>
    <x v="1"/>
    <x v="0"/>
    <x v="5"/>
    <x v="2"/>
    <n v="1"/>
    <n v="30"/>
    <n v="30"/>
    <n v="0.44999999999999996"/>
    <n v="0.6"/>
  </r>
  <r>
    <x v="451"/>
    <n v="8"/>
    <n v="5"/>
    <n v="2023"/>
    <s v="Monday"/>
    <s v="May"/>
    <d v="2023-05-08T00:00:00"/>
    <x v="451"/>
    <x v="1"/>
    <x v="0"/>
    <x v="27"/>
    <x v="1"/>
    <n v="3"/>
    <n v="500"/>
    <n v="1500"/>
    <n v="22.5"/>
    <n v="30"/>
  </r>
  <r>
    <x v="452"/>
    <n v="8"/>
    <n v="12"/>
    <n v="2023"/>
    <s v="Friday"/>
    <s v="December"/>
    <d v="2023-12-08T00:00:00"/>
    <x v="452"/>
    <x v="1"/>
    <x v="1"/>
    <x v="1"/>
    <x v="1"/>
    <n v="2"/>
    <n v="500"/>
    <n v="1000"/>
    <n v="15"/>
    <n v="20"/>
  </r>
  <r>
    <x v="453"/>
    <n v="22"/>
    <n v="2"/>
    <n v="2023"/>
    <s v="Wednesday"/>
    <s v="February"/>
    <d v="2023-02-22T00:00:00"/>
    <x v="453"/>
    <x v="1"/>
    <x v="0"/>
    <x v="6"/>
    <x v="0"/>
    <n v="1"/>
    <n v="25"/>
    <n v="25"/>
    <n v="0.375"/>
    <n v="0.5"/>
  </r>
  <r>
    <x v="454"/>
    <n v="1"/>
    <n v="7"/>
    <n v="2023"/>
    <s v="Saturday"/>
    <s v="July"/>
    <d v="2023-07-01T00:00:00"/>
    <x v="454"/>
    <x v="0"/>
    <x v="0"/>
    <x v="33"/>
    <x v="2"/>
    <n v="4"/>
    <n v="25"/>
    <n v="100"/>
    <n v="1.5"/>
    <n v="2"/>
  </r>
  <r>
    <x v="455"/>
    <n v="14"/>
    <n v="10"/>
    <n v="2023"/>
    <s v="Saturday"/>
    <s v="October"/>
    <d v="2023-10-14T00:00:00"/>
    <x v="455"/>
    <x v="0"/>
    <x v="0"/>
    <x v="35"/>
    <x v="2"/>
    <n v="2"/>
    <n v="30"/>
    <n v="60"/>
    <n v="0.89999999999999991"/>
    <n v="1.2"/>
  </r>
  <r>
    <x v="456"/>
    <n v="28"/>
    <n v="7"/>
    <n v="2023"/>
    <s v="Friday"/>
    <s v="July"/>
    <d v="2023-07-28T00:00:00"/>
    <x v="456"/>
    <x v="1"/>
    <x v="0"/>
    <x v="26"/>
    <x v="0"/>
    <n v="3"/>
    <n v="300"/>
    <n v="900"/>
    <n v="13.5"/>
    <n v="18"/>
  </r>
  <r>
    <x v="457"/>
    <n v="14"/>
    <n v="11"/>
    <n v="2023"/>
    <s v="Tuesday"/>
    <s v="November"/>
    <d v="2023-11-14T00:00:00"/>
    <x v="457"/>
    <x v="1"/>
    <x v="0"/>
    <x v="23"/>
    <x v="2"/>
    <n v="4"/>
    <n v="25"/>
    <n v="100"/>
    <n v="1.5"/>
    <n v="2"/>
  </r>
  <r>
    <x v="458"/>
    <n v="21"/>
    <n v="3"/>
    <n v="2023"/>
    <s v="Tuesday"/>
    <s v="March"/>
    <d v="2023-03-21T00:00:00"/>
    <x v="458"/>
    <x v="0"/>
    <x v="1"/>
    <x v="20"/>
    <x v="1"/>
    <n v="4"/>
    <n v="300"/>
    <n v="1200"/>
    <n v="18"/>
    <n v="24"/>
  </r>
  <r>
    <x v="459"/>
    <n v="2"/>
    <n v="5"/>
    <n v="2023"/>
    <s v="Tuesday"/>
    <s v="May"/>
    <d v="2023-05-02T00:00:00"/>
    <x v="459"/>
    <x v="0"/>
    <x v="0"/>
    <x v="30"/>
    <x v="0"/>
    <n v="1"/>
    <n v="50"/>
    <n v="50"/>
    <n v="0.75"/>
    <n v="1"/>
  </r>
  <r>
    <x v="460"/>
    <n v="25"/>
    <n v="3"/>
    <n v="2023"/>
    <s v="Saturday"/>
    <s v="March"/>
    <d v="2023-03-25T00:00:00"/>
    <x v="460"/>
    <x v="1"/>
    <x v="1"/>
    <x v="18"/>
    <x v="0"/>
    <n v="2"/>
    <n v="500"/>
    <n v="1000"/>
    <n v="15"/>
    <n v="20"/>
  </r>
  <r>
    <x v="461"/>
    <n v="1"/>
    <n v="4"/>
    <n v="2023"/>
    <s v="Saturday"/>
    <s v="April"/>
    <d v="2023-04-01T00:00:00"/>
    <x v="461"/>
    <x v="0"/>
    <x v="0"/>
    <x v="7"/>
    <x v="2"/>
    <n v="4"/>
    <n v="300"/>
    <n v="1200"/>
    <n v="18"/>
    <n v="24"/>
  </r>
  <r>
    <x v="462"/>
    <n v="31"/>
    <n v="7"/>
    <n v="2023"/>
    <s v="Monday"/>
    <s v="July"/>
    <d v="2023-07-31T00:00:00"/>
    <x v="462"/>
    <x v="1"/>
    <x v="0"/>
    <x v="31"/>
    <x v="0"/>
    <n v="3"/>
    <n v="500"/>
    <n v="1500"/>
    <n v="22.5"/>
    <n v="30"/>
  </r>
  <r>
    <x v="463"/>
    <n v="13"/>
    <n v="1"/>
    <n v="2023"/>
    <s v="Friday"/>
    <s v="January"/>
    <d v="2023-01-13T00:00:00"/>
    <x v="463"/>
    <x v="0"/>
    <x v="0"/>
    <x v="21"/>
    <x v="2"/>
    <n v="2"/>
    <n v="300"/>
    <n v="600"/>
    <n v="9"/>
    <n v="12"/>
  </r>
  <r>
    <x v="464"/>
    <n v="2"/>
    <n v="4"/>
    <n v="2023"/>
    <s v="Sunday"/>
    <s v="April"/>
    <d v="2023-04-02T00:00:00"/>
    <x v="464"/>
    <x v="1"/>
    <x v="0"/>
    <x v="22"/>
    <x v="2"/>
    <n v="3"/>
    <n v="50"/>
    <n v="150"/>
    <n v="2.25"/>
    <n v="3"/>
  </r>
  <r>
    <x v="465"/>
    <n v="20"/>
    <n v="6"/>
    <n v="2023"/>
    <s v="Tuesday"/>
    <s v="June"/>
    <d v="2023-06-20T00:00:00"/>
    <x v="465"/>
    <x v="0"/>
    <x v="0"/>
    <x v="7"/>
    <x v="2"/>
    <n v="4"/>
    <n v="25"/>
    <n v="100"/>
    <n v="1.5"/>
    <n v="2"/>
  </r>
  <r>
    <x v="466"/>
    <n v="30"/>
    <n v="7"/>
    <n v="2023"/>
    <s v="Sunday"/>
    <s v="July"/>
    <d v="2023-07-30T00:00:00"/>
    <x v="466"/>
    <x v="1"/>
    <x v="0"/>
    <x v="45"/>
    <x v="2"/>
    <n v="3"/>
    <n v="50"/>
    <n v="150"/>
    <n v="2.25"/>
    <n v="3"/>
  </r>
  <r>
    <x v="467"/>
    <n v="9"/>
    <n v="12"/>
    <n v="2023"/>
    <s v="Saturday"/>
    <s v="December"/>
    <d v="2023-12-09T00:00:00"/>
    <x v="467"/>
    <x v="0"/>
    <x v="0"/>
    <x v="30"/>
    <x v="2"/>
    <n v="1"/>
    <n v="25"/>
    <n v="25"/>
    <n v="0.375"/>
    <n v="0.5"/>
  </r>
  <r>
    <x v="468"/>
    <n v="8"/>
    <n v="5"/>
    <n v="2023"/>
    <s v="Monday"/>
    <s v="May"/>
    <d v="2023-05-08T00:00:00"/>
    <x v="468"/>
    <x v="0"/>
    <x v="1"/>
    <x v="18"/>
    <x v="0"/>
    <n v="3"/>
    <n v="25"/>
    <n v="75"/>
    <n v="1.125"/>
    <n v="1.5"/>
  </r>
  <r>
    <x v="469"/>
    <n v="17"/>
    <n v="5"/>
    <n v="2023"/>
    <s v="Wednesday"/>
    <s v="May"/>
    <d v="2023-05-17T00:00:00"/>
    <x v="469"/>
    <x v="1"/>
    <x v="0"/>
    <x v="35"/>
    <x v="1"/>
    <n v="2"/>
    <n v="500"/>
    <n v="1000"/>
    <n v="15"/>
    <n v="20"/>
  </r>
  <r>
    <x v="470"/>
    <n v="23"/>
    <n v="3"/>
    <n v="2023"/>
    <s v="Thursday"/>
    <s v="March"/>
    <d v="2023-03-23T00:00:00"/>
    <x v="470"/>
    <x v="0"/>
    <x v="0"/>
    <x v="40"/>
    <x v="1"/>
    <n v="3"/>
    <n v="50"/>
    <n v="150"/>
    <n v="2.25"/>
    <n v="3"/>
  </r>
  <r>
    <x v="471"/>
    <n v="26"/>
    <n v="12"/>
    <n v="2023"/>
    <s v="Tuesday"/>
    <s v="December"/>
    <d v="2023-12-26T00:00:00"/>
    <x v="471"/>
    <x v="1"/>
    <x v="0"/>
    <x v="21"/>
    <x v="0"/>
    <n v="3"/>
    <n v="300"/>
    <n v="900"/>
    <n v="13.5"/>
    <n v="18"/>
  </r>
  <r>
    <x v="472"/>
    <n v="25"/>
    <n v="2"/>
    <n v="2023"/>
    <s v="Saturday"/>
    <s v="February"/>
    <d v="2023-02-25T00:00:00"/>
    <x v="472"/>
    <x v="0"/>
    <x v="0"/>
    <x v="12"/>
    <x v="0"/>
    <n v="1"/>
    <n v="50"/>
    <n v="50"/>
    <n v="0.75"/>
    <n v="1"/>
  </r>
  <r>
    <x v="473"/>
    <n v="15"/>
    <n v="7"/>
    <n v="2023"/>
    <s v="Saturday"/>
    <s v="July"/>
    <d v="2023-07-15T00:00:00"/>
    <x v="473"/>
    <x v="1"/>
    <x v="1"/>
    <x v="1"/>
    <x v="1"/>
    <n v="3"/>
    <n v="500"/>
    <n v="1500"/>
    <n v="22.5"/>
    <n v="30"/>
  </r>
  <r>
    <x v="474"/>
    <n v="20"/>
    <n v="1"/>
    <n v="2023"/>
    <s v="Friday"/>
    <s v="January"/>
    <d v="2023-01-20T00:00:00"/>
    <x v="474"/>
    <x v="0"/>
    <x v="1"/>
    <x v="1"/>
    <x v="1"/>
    <n v="3"/>
    <n v="25"/>
    <n v="75"/>
    <n v="1.125"/>
    <n v="1.5"/>
  </r>
  <r>
    <x v="475"/>
    <n v="29"/>
    <n v="8"/>
    <n v="2023"/>
    <s v="Tuesday"/>
    <s v="August"/>
    <d v="2023-08-29T00:00:00"/>
    <x v="475"/>
    <x v="1"/>
    <x v="1"/>
    <x v="15"/>
    <x v="1"/>
    <n v="4"/>
    <n v="500"/>
    <n v="2000"/>
    <n v="30"/>
    <n v="40"/>
  </r>
  <r>
    <x v="476"/>
    <n v="24"/>
    <n v="4"/>
    <n v="2023"/>
    <s v="Monday"/>
    <s v="April"/>
    <d v="2023-04-24T00:00:00"/>
    <x v="476"/>
    <x v="0"/>
    <x v="0"/>
    <x v="22"/>
    <x v="1"/>
    <n v="4"/>
    <n v="30"/>
    <n v="120"/>
    <n v="1.7999999999999998"/>
    <n v="2.4"/>
  </r>
  <r>
    <x v="477"/>
    <n v="13"/>
    <n v="4"/>
    <n v="2023"/>
    <s v="Thursday"/>
    <s v="April"/>
    <d v="2023-04-13T00:00:00"/>
    <x v="477"/>
    <x v="1"/>
    <x v="0"/>
    <x v="26"/>
    <x v="1"/>
    <n v="2"/>
    <n v="30"/>
    <n v="60"/>
    <n v="0.89999999999999991"/>
    <n v="1.2"/>
  </r>
  <r>
    <x v="478"/>
    <n v="24"/>
    <n v="8"/>
    <n v="2023"/>
    <s v="Thursday"/>
    <s v="August"/>
    <d v="2023-08-24T00:00:00"/>
    <x v="478"/>
    <x v="0"/>
    <x v="0"/>
    <x v="8"/>
    <x v="2"/>
    <n v="4"/>
    <n v="300"/>
    <n v="1200"/>
    <n v="18"/>
    <n v="24"/>
  </r>
  <r>
    <x v="479"/>
    <n v="29"/>
    <n v="6"/>
    <n v="2023"/>
    <s v="Thursday"/>
    <s v="June"/>
    <d v="2023-06-29T00:00:00"/>
    <x v="479"/>
    <x v="1"/>
    <x v="0"/>
    <x v="13"/>
    <x v="0"/>
    <n v="4"/>
    <n v="500"/>
    <n v="2000"/>
    <n v="30"/>
    <n v="40"/>
  </r>
  <r>
    <x v="480"/>
    <n v="6"/>
    <n v="6"/>
    <n v="2023"/>
    <s v="Tuesday"/>
    <s v="June"/>
    <d v="2023-06-06T00:00:00"/>
    <x v="480"/>
    <x v="1"/>
    <x v="0"/>
    <x v="22"/>
    <x v="2"/>
    <n v="4"/>
    <n v="300"/>
    <n v="1200"/>
    <n v="18"/>
    <n v="24"/>
  </r>
  <r>
    <x v="481"/>
    <n v="27"/>
    <n v="4"/>
    <n v="2023"/>
    <s v="Thursday"/>
    <s v="April"/>
    <d v="2023-04-27T00:00:00"/>
    <x v="481"/>
    <x v="1"/>
    <x v="1"/>
    <x v="20"/>
    <x v="1"/>
    <n v="4"/>
    <n v="300"/>
    <n v="1200"/>
    <n v="18"/>
    <n v="24"/>
  </r>
  <r>
    <x v="482"/>
    <n v="25"/>
    <n v="4"/>
    <n v="2023"/>
    <s v="Tuesday"/>
    <s v="April"/>
    <d v="2023-04-25T00:00:00"/>
    <x v="482"/>
    <x v="0"/>
    <x v="0"/>
    <x v="28"/>
    <x v="1"/>
    <n v="1"/>
    <n v="30"/>
    <n v="30"/>
    <n v="0.44999999999999996"/>
    <n v="0.6"/>
  </r>
  <r>
    <x v="483"/>
    <n v="13"/>
    <n v="1"/>
    <n v="2023"/>
    <s v="Friday"/>
    <s v="January"/>
    <d v="2023-01-13T00:00:00"/>
    <x v="483"/>
    <x v="1"/>
    <x v="1"/>
    <x v="14"/>
    <x v="1"/>
    <n v="4"/>
    <n v="300"/>
    <n v="1200"/>
    <n v="18"/>
    <n v="24"/>
  </r>
  <r>
    <x v="484"/>
    <n v="4"/>
    <n v="12"/>
    <n v="2023"/>
    <s v="Monday"/>
    <s v="December"/>
    <d v="2023-12-04T00:00:00"/>
    <x v="484"/>
    <x v="0"/>
    <x v="1"/>
    <x v="46"/>
    <x v="2"/>
    <n v="1"/>
    <n v="30"/>
    <n v="30"/>
    <n v="0.44999999999999996"/>
    <n v="0.6"/>
  </r>
  <r>
    <x v="485"/>
    <n v="9"/>
    <n v="4"/>
    <n v="2023"/>
    <s v="Sunday"/>
    <s v="April"/>
    <d v="2023-04-09T00:00:00"/>
    <x v="485"/>
    <x v="1"/>
    <x v="0"/>
    <x v="10"/>
    <x v="2"/>
    <n v="1"/>
    <n v="25"/>
    <n v="25"/>
    <n v="0.375"/>
    <n v="0.5"/>
  </r>
  <r>
    <x v="486"/>
    <n v="24"/>
    <n v="7"/>
    <n v="2023"/>
    <s v="Monday"/>
    <s v="July"/>
    <d v="2023-07-24T00:00:00"/>
    <x v="486"/>
    <x v="0"/>
    <x v="0"/>
    <x v="24"/>
    <x v="1"/>
    <n v="4"/>
    <n v="500"/>
    <n v="2000"/>
    <n v="30"/>
    <n v="40"/>
  </r>
  <r>
    <x v="487"/>
    <n v="18"/>
    <n v="6"/>
    <n v="2023"/>
    <s v="Sunday"/>
    <s v="June"/>
    <d v="2023-06-18T00:00:00"/>
    <x v="487"/>
    <x v="1"/>
    <x v="0"/>
    <x v="25"/>
    <x v="2"/>
    <n v="3"/>
    <n v="300"/>
    <n v="900"/>
    <n v="13.5"/>
    <n v="18"/>
  </r>
  <r>
    <x v="488"/>
    <n v="23"/>
    <n v="5"/>
    <n v="2023"/>
    <s v="Tuesday"/>
    <s v="May"/>
    <d v="2023-05-23T00:00:00"/>
    <x v="488"/>
    <x v="0"/>
    <x v="0"/>
    <x v="24"/>
    <x v="2"/>
    <n v="1"/>
    <n v="30"/>
    <n v="30"/>
    <n v="0.44999999999999996"/>
    <n v="0.6"/>
  </r>
  <r>
    <x v="489"/>
    <n v="5"/>
    <n v="2"/>
    <n v="2023"/>
    <s v="Sunday"/>
    <s v="February"/>
    <d v="2023-02-05T00:00:00"/>
    <x v="489"/>
    <x v="0"/>
    <x v="0"/>
    <x v="0"/>
    <x v="1"/>
    <n v="3"/>
    <n v="50"/>
    <n v="150"/>
    <n v="2.25"/>
    <n v="3"/>
  </r>
  <r>
    <x v="490"/>
    <n v="23"/>
    <n v="5"/>
    <n v="2023"/>
    <s v="Tuesday"/>
    <s v="May"/>
    <d v="2023-05-23T00:00:00"/>
    <x v="490"/>
    <x v="1"/>
    <x v="0"/>
    <x v="43"/>
    <x v="2"/>
    <n v="3"/>
    <n v="300"/>
    <n v="900"/>
    <n v="13.5"/>
    <n v="18"/>
  </r>
  <r>
    <x v="491"/>
    <n v="29"/>
    <n v="6"/>
    <n v="2023"/>
    <s v="Thursday"/>
    <s v="June"/>
    <d v="2023-06-29T00:00:00"/>
    <x v="491"/>
    <x v="0"/>
    <x v="0"/>
    <x v="39"/>
    <x v="0"/>
    <n v="4"/>
    <n v="25"/>
    <n v="100"/>
    <n v="1.5"/>
    <n v="2"/>
  </r>
  <r>
    <x v="492"/>
    <n v="25"/>
    <n v="11"/>
    <n v="2023"/>
    <s v="Saturday"/>
    <s v="November"/>
    <d v="2023-11-25T00:00:00"/>
    <x v="492"/>
    <x v="0"/>
    <x v="0"/>
    <x v="41"/>
    <x v="0"/>
    <n v="2"/>
    <n v="25"/>
    <n v="50"/>
    <n v="0.75"/>
    <n v="1"/>
  </r>
  <r>
    <x v="493"/>
    <n v="18"/>
    <n v="9"/>
    <n v="2023"/>
    <s v="Monday"/>
    <s v="September"/>
    <d v="2023-09-18T00:00:00"/>
    <x v="493"/>
    <x v="1"/>
    <x v="0"/>
    <x v="13"/>
    <x v="0"/>
    <n v="4"/>
    <n v="50"/>
    <n v="200"/>
    <n v="3"/>
    <n v="4"/>
  </r>
  <r>
    <x v="494"/>
    <n v="24"/>
    <n v="7"/>
    <n v="2023"/>
    <s v="Monday"/>
    <s v="July"/>
    <d v="2023-07-24T00:00:00"/>
    <x v="494"/>
    <x v="0"/>
    <x v="1"/>
    <x v="46"/>
    <x v="0"/>
    <n v="2"/>
    <n v="30"/>
    <n v="60"/>
    <n v="0.89999999999999991"/>
    <n v="1.2"/>
  </r>
  <r>
    <x v="495"/>
    <n v="14"/>
    <n v="12"/>
    <n v="2023"/>
    <s v="Thursday"/>
    <s v="December"/>
    <d v="2023-12-14T00:00:00"/>
    <x v="495"/>
    <x v="0"/>
    <x v="1"/>
    <x v="9"/>
    <x v="1"/>
    <n v="2"/>
    <n v="300"/>
    <n v="600"/>
    <n v="9"/>
    <n v="12"/>
  </r>
  <r>
    <x v="496"/>
    <n v="2"/>
    <n v="10"/>
    <n v="2023"/>
    <s v="Monday"/>
    <s v="October"/>
    <d v="2023-10-02T00:00:00"/>
    <x v="496"/>
    <x v="0"/>
    <x v="0"/>
    <x v="41"/>
    <x v="1"/>
    <n v="4"/>
    <n v="30"/>
    <n v="120"/>
    <n v="1.7999999999999998"/>
    <n v="2.4"/>
  </r>
  <r>
    <x v="497"/>
    <n v="19"/>
    <n v="6"/>
    <n v="2023"/>
    <s v="Monday"/>
    <s v="June"/>
    <d v="2023-06-19T00:00:00"/>
    <x v="497"/>
    <x v="1"/>
    <x v="0"/>
    <x v="2"/>
    <x v="1"/>
    <n v="4"/>
    <n v="25"/>
    <n v="100"/>
    <n v="1.5"/>
    <n v="2"/>
  </r>
  <r>
    <x v="498"/>
    <n v="15"/>
    <n v="1"/>
    <n v="2023"/>
    <s v="Sunday"/>
    <s v="January"/>
    <d v="2023-01-15T00:00:00"/>
    <x v="498"/>
    <x v="0"/>
    <x v="0"/>
    <x v="6"/>
    <x v="0"/>
    <n v="2"/>
    <n v="30"/>
    <n v="60"/>
    <n v="0.89999999999999991"/>
    <n v="1.2"/>
  </r>
  <r>
    <x v="499"/>
    <n v="1"/>
    <n v="3"/>
    <n v="2023"/>
    <s v="Wednesday"/>
    <s v="March"/>
    <d v="2023-03-01T00:00:00"/>
    <x v="499"/>
    <x v="1"/>
    <x v="0"/>
    <x v="43"/>
    <x v="0"/>
    <n v="4"/>
    <n v="25"/>
    <n v="100"/>
    <n v="1.5"/>
    <n v="2"/>
  </r>
  <r>
    <x v="500"/>
    <n v="14"/>
    <n v="5"/>
    <n v="2023"/>
    <s v="Sunday"/>
    <s v="May"/>
    <d v="2023-05-14T00:00:00"/>
    <x v="500"/>
    <x v="0"/>
    <x v="0"/>
    <x v="23"/>
    <x v="2"/>
    <n v="2"/>
    <n v="30"/>
    <n v="60"/>
    <n v="0.89999999999999991"/>
    <n v="1.2"/>
  </r>
  <r>
    <x v="501"/>
    <n v="2"/>
    <n v="4"/>
    <n v="2023"/>
    <s v="Sunday"/>
    <s v="April"/>
    <d v="2023-04-02T00:00:00"/>
    <x v="501"/>
    <x v="0"/>
    <x v="0"/>
    <x v="22"/>
    <x v="2"/>
    <n v="3"/>
    <n v="50"/>
    <n v="150"/>
    <n v="2.25"/>
    <n v="3"/>
  </r>
  <r>
    <x v="502"/>
    <n v="25"/>
    <n v="10"/>
    <n v="2023"/>
    <s v="Wednesday"/>
    <s v="October"/>
    <d v="2023-10-25T00:00:00"/>
    <x v="502"/>
    <x v="0"/>
    <x v="0"/>
    <x v="5"/>
    <x v="0"/>
    <n v="4"/>
    <n v="500"/>
    <n v="2000"/>
    <n v="30"/>
    <n v="40"/>
  </r>
  <r>
    <x v="503"/>
    <n v="16"/>
    <n v="5"/>
    <n v="2023"/>
    <s v="Tuesday"/>
    <s v="May"/>
    <d v="2023-05-16T00:00:00"/>
    <x v="503"/>
    <x v="1"/>
    <x v="0"/>
    <x v="21"/>
    <x v="0"/>
    <n v="3"/>
    <n v="50"/>
    <n v="150"/>
    <n v="2.25"/>
    <n v="3"/>
  </r>
  <r>
    <x v="504"/>
    <n v="20"/>
    <n v="1"/>
    <n v="2023"/>
    <s v="Friday"/>
    <s v="January"/>
    <d v="2023-01-20T00:00:00"/>
    <x v="504"/>
    <x v="0"/>
    <x v="1"/>
    <x v="46"/>
    <x v="0"/>
    <n v="1"/>
    <n v="50"/>
    <n v="50"/>
    <n v="0.75"/>
    <n v="1"/>
  </r>
  <r>
    <x v="505"/>
    <n v="25"/>
    <n v="2"/>
    <n v="2023"/>
    <s v="Saturday"/>
    <s v="February"/>
    <d v="2023-02-25T00:00:00"/>
    <x v="505"/>
    <x v="0"/>
    <x v="0"/>
    <x v="0"/>
    <x v="0"/>
    <n v="3"/>
    <n v="500"/>
    <n v="1500"/>
    <n v="22.5"/>
    <n v="30"/>
  </r>
  <r>
    <x v="506"/>
    <n v="2"/>
    <n v="11"/>
    <n v="2023"/>
    <s v="Thursday"/>
    <s v="November"/>
    <d v="2023-11-02T00:00:00"/>
    <x v="506"/>
    <x v="1"/>
    <x v="0"/>
    <x v="3"/>
    <x v="2"/>
    <n v="3"/>
    <n v="500"/>
    <n v="1500"/>
    <n v="22.5"/>
    <n v="30"/>
  </r>
  <r>
    <x v="507"/>
    <n v="11"/>
    <n v="8"/>
    <n v="2023"/>
    <s v="Friday"/>
    <s v="August"/>
    <d v="2023-08-11T00:00:00"/>
    <x v="507"/>
    <x v="0"/>
    <x v="0"/>
    <x v="26"/>
    <x v="0"/>
    <n v="2"/>
    <n v="300"/>
    <n v="600"/>
    <n v="9"/>
    <n v="12"/>
  </r>
  <r>
    <x v="508"/>
    <n v="26"/>
    <n v="6"/>
    <n v="2023"/>
    <s v="Monday"/>
    <s v="June"/>
    <d v="2023-06-26T00:00:00"/>
    <x v="508"/>
    <x v="1"/>
    <x v="0"/>
    <x v="3"/>
    <x v="2"/>
    <n v="3"/>
    <n v="300"/>
    <n v="900"/>
    <n v="13.5"/>
    <n v="18"/>
  </r>
  <r>
    <x v="509"/>
    <n v="10"/>
    <n v="6"/>
    <n v="2023"/>
    <s v="Saturday"/>
    <s v="June"/>
    <d v="2023-06-10T00:00:00"/>
    <x v="509"/>
    <x v="1"/>
    <x v="0"/>
    <x v="23"/>
    <x v="0"/>
    <n v="4"/>
    <n v="50"/>
    <n v="200"/>
    <n v="3"/>
    <n v="4"/>
  </r>
  <r>
    <x v="510"/>
    <n v="12"/>
    <n v="8"/>
    <n v="2023"/>
    <s v="Saturday"/>
    <s v="August"/>
    <d v="2023-08-12T00:00:00"/>
    <x v="510"/>
    <x v="0"/>
    <x v="0"/>
    <x v="5"/>
    <x v="0"/>
    <n v="2"/>
    <n v="50"/>
    <n v="100"/>
    <n v="1.5"/>
    <n v="2"/>
  </r>
  <r>
    <x v="511"/>
    <n v="7"/>
    <n v="11"/>
    <n v="2023"/>
    <s v="Tuesday"/>
    <s v="November"/>
    <d v="2023-11-07T00:00:00"/>
    <x v="511"/>
    <x v="1"/>
    <x v="0"/>
    <x v="35"/>
    <x v="0"/>
    <n v="1"/>
    <n v="25"/>
    <n v="25"/>
    <n v="0.375"/>
    <n v="0.5"/>
  </r>
  <r>
    <x v="512"/>
    <n v="19"/>
    <n v="9"/>
    <n v="2023"/>
    <s v="Tuesday"/>
    <s v="September"/>
    <d v="2023-09-19T00:00:00"/>
    <x v="512"/>
    <x v="0"/>
    <x v="1"/>
    <x v="46"/>
    <x v="2"/>
    <n v="4"/>
    <n v="25"/>
    <n v="100"/>
    <n v="1.5"/>
    <n v="2"/>
  </r>
  <r>
    <x v="513"/>
    <n v="1"/>
    <n v="3"/>
    <n v="2023"/>
    <s v="Wednesday"/>
    <s v="March"/>
    <d v="2023-03-01T00:00:00"/>
    <x v="513"/>
    <x v="1"/>
    <x v="1"/>
    <x v="18"/>
    <x v="2"/>
    <n v="1"/>
    <n v="300"/>
    <n v="300"/>
    <n v="4.5"/>
    <n v="6"/>
  </r>
  <r>
    <x v="514"/>
    <n v="17"/>
    <n v="7"/>
    <n v="2023"/>
    <s v="Monday"/>
    <s v="July"/>
    <d v="2023-07-17T00:00:00"/>
    <x v="514"/>
    <x v="1"/>
    <x v="0"/>
    <x v="19"/>
    <x v="1"/>
    <n v="3"/>
    <n v="300"/>
    <n v="900"/>
    <n v="13.5"/>
    <n v="18"/>
  </r>
  <r>
    <x v="515"/>
    <n v="23"/>
    <n v="10"/>
    <n v="2023"/>
    <s v="Monday"/>
    <s v="October"/>
    <d v="2023-10-23T00:00:00"/>
    <x v="515"/>
    <x v="0"/>
    <x v="0"/>
    <x v="4"/>
    <x v="0"/>
    <n v="4"/>
    <n v="25"/>
    <n v="100"/>
    <n v="1.5"/>
    <n v="2"/>
  </r>
  <r>
    <x v="516"/>
    <n v="8"/>
    <n v="4"/>
    <n v="2023"/>
    <s v="Saturday"/>
    <s v="April"/>
    <d v="2023-04-08T00:00:00"/>
    <x v="516"/>
    <x v="1"/>
    <x v="0"/>
    <x v="16"/>
    <x v="1"/>
    <n v="4"/>
    <n v="25"/>
    <n v="100"/>
    <n v="1.5"/>
    <n v="2"/>
  </r>
  <r>
    <x v="517"/>
    <n v="11"/>
    <n v="5"/>
    <n v="2023"/>
    <s v="Thursday"/>
    <s v="May"/>
    <d v="2023-05-11T00:00:00"/>
    <x v="517"/>
    <x v="1"/>
    <x v="0"/>
    <x v="30"/>
    <x v="1"/>
    <n v="1"/>
    <n v="30"/>
    <n v="30"/>
    <n v="0.44999999999999996"/>
    <n v="0.6"/>
  </r>
  <r>
    <x v="518"/>
    <n v="23"/>
    <n v="1"/>
    <n v="2023"/>
    <s v="Monday"/>
    <s v="January"/>
    <d v="2023-01-23T00:00:00"/>
    <x v="518"/>
    <x v="1"/>
    <x v="0"/>
    <x v="32"/>
    <x v="2"/>
    <n v="4"/>
    <n v="30"/>
    <n v="120"/>
    <n v="1.7999999999999998"/>
    <n v="2.4"/>
  </r>
  <r>
    <x v="519"/>
    <n v="29"/>
    <n v="12"/>
    <n v="2023"/>
    <s v="Friday"/>
    <s v="December"/>
    <d v="2023-12-29T00:00:00"/>
    <x v="519"/>
    <x v="1"/>
    <x v="0"/>
    <x v="19"/>
    <x v="2"/>
    <n v="4"/>
    <n v="25"/>
    <n v="100"/>
    <n v="1.5"/>
    <n v="2"/>
  </r>
  <r>
    <x v="520"/>
    <n v="12"/>
    <n v="8"/>
    <n v="2023"/>
    <s v="Saturday"/>
    <s v="August"/>
    <d v="2023-08-12T00:00:00"/>
    <x v="520"/>
    <x v="1"/>
    <x v="0"/>
    <x v="16"/>
    <x v="1"/>
    <n v="4"/>
    <n v="30"/>
    <n v="120"/>
    <n v="1.7999999999999998"/>
    <n v="2.4"/>
  </r>
  <r>
    <x v="521"/>
    <n v="1"/>
    <n v="1"/>
    <n v="2023"/>
    <s v="Sunday"/>
    <s v="January"/>
    <d v="2023-01-01T00:00:00"/>
    <x v="521"/>
    <x v="0"/>
    <x v="0"/>
    <x v="6"/>
    <x v="0"/>
    <n v="3"/>
    <n v="500"/>
    <n v="1500"/>
    <n v="22.5"/>
    <n v="30"/>
  </r>
  <r>
    <x v="522"/>
    <n v="24"/>
    <n v="9"/>
    <n v="2023"/>
    <s v="Sunday"/>
    <s v="September"/>
    <d v="2023-09-24T00:00:00"/>
    <x v="522"/>
    <x v="1"/>
    <x v="0"/>
    <x v="17"/>
    <x v="2"/>
    <n v="1"/>
    <n v="300"/>
    <n v="300"/>
    <n v="4.5"/>
    <n v="6"/>
  </r>
  <r>
    <x v="523"/>
    <n v="3"/>
    <n v="10"/>
    <n v="2023"/>
    <s v="Tuesday"/>
    <s v="October"/>
    <d v="2023-10-03T00:00:00"/>
    <x v="523"/>
    <x v="0"/>
    <x v="0"/>
    <x v="6"/>
    <x v="0"/>
    <n v="4"/>
    <n v="300"/>
    <n v="1200"/>
    <n v="18"/>
    <n v="24"/>
  </r>
  <r>
    <x v="524"/>
    <n v="18"/>
    <n v="12"/>
    <n v="2023"/>
    <s v="Monday"/>
    <s v="December"/>
    <d v="2023-12-18T00:00:00"/>
    <x v="524"/>
    <x v="1"/>
    <x v="0"/>
    <x v="16"/>
    <x v="0"/>
    <n v="2"/>
    <n v="25"/>
    <n v="50"/>
    <n v="0.75"/>
    <n v="1"/>
  </r>
  <r>
    <x v="525"/>
    <n v="10"/>
    <n v="12"/>
    <n v="2023"/>
    <s v="Sunday"/>
    <s v="December"/>
    <d v="2023-12-10T00:00:00"/>
    <x v="525"/>
    <x v="0"/>
    <x v="0"/>
    <x v="44"/>
    <x v="1"/>
    <n v="2"/>
    <n v="50"/>
    <n v="100"/>
    <n v="1.5"/>
    <n v="2"/>
  </r>
  <r>
    <x v="526"/>
    <n v="11"/>
    <n v="4"/>
    <n v="2023"/>
    <s v="Tuesday"/>
    <s v="April"/>
    <d v="2023-04-11T00:00:00"/>
    <x v="526"/>
    <x v="0"/>
    <x v="0"/>
    <x v="35"/>
    <x v="1"/>
    <n v="2"/>
    <n v="25"/>
    <n v="50"/>
    <n v="0.75"/>
    <n v="1"/>
  </r>
  <r>
    <x v="527"/>
    <n v="6"/>
    <n v="7"/>
    <n v="2023"/>
    <s v="Thursday"/>
    <s v="July"/>
    <d v="2023-07-06T00:00:00"/>
    <x v="527"/>
    <x v="1"/>
    <x v="0"/>
    <x v="32"/>
    <x v="1"/>
    <n v="2"/>
    <n v="30"/>
    <n v="60"/>
    <n v="0.89999999999999991"/>
    <n v="1.2"/>
  </r>
  <r>
    <x v="528"/>
    <n v="9"/>
    <n v="8"/>
    <n v="2023"/>
    <s v="Wednesday"/>
    <s v="August"/>
    <d v="2023-08-09T00:00:00"/>
    <x v="528"/>
    <x v="1"/>
    <x v="0"/>
    <x v="10"/>
    <x v="1"/>
    <n v="3"/>
    <n v="50"/>
    <n v="150"/>
    <n v="2.25"/>
    <n v="3"/>
  </r>
  <r>
    <x v="529"/>
    <n v="5"/>
    <n v="2"/>
    <n v="2023"/>
    <s v="Sunday"/>
    <s v="February"/>
    <d v="2023-02-05T00:00:00"/>
    <x v="529"/>
    <x v="1"/>
    <x v="1"/>
    <x v="18"/>
    <x v="2"/>
    <n v="4"/>
    <n v="30"/>
    <n v="120"/>
    <n v="1.7999999999999998"/>
    <n v="2.4"/>
  </r>
  <r>
    <x v="530"/>
    <n v="7"/>
    <n v="12"/>
    <n v="2023"/>
    <s v="Thursday"/>
    <s v="December"/>
    <d v="2023-12-07T00:00:00"/>
    <x v="530"/>
    <x v="0"/>
    <x v="0"/>
    <x v="33"/>
    <x v="2"/>
    <n v="1"/>
    <n v="500"/>
    <n v="500"/>
    <n v="7.5"/>
    <n v="10"/>
  </r>
  <r>
    <x v="531"/>
    <n v="19"/>
    <n v="6"/>
    <n v="2023"/>
    <s v="Monday"/>
    <s v="June"/>
    <d v="2023-06-19T00:00:00"/>
    <x v="531"/>
    <x v="1"/>
    <x v="0"/>
    <x v="12"/>
    <x v="1"/>
    <n v="4"/>
    <n v="30"/>
    <n v="120"/>
    <n v="1.7999999999999998"/>
    <n v="2.4"/>
  </r>
  <r>
    <x v="532"/>
    <n v="16"/>
    <n v="11"/>
    <n v="2023"/>
    <s v="Thursday"/>
    <s v="November"/>
    <d v="2023-11-16T00:00:00"/>
    <x v="532"/>
    <x v="0"/>
    <x v="1"/>
    <x v="14"/>
    <x v="2"/>
    <n v="3"/>
    <n v="500"/>
    <n v="1500"/>
    <n v="22.5"/>
    <n v="30"/>
  </r>
  <r>
    <x v="533"/>
    <n v="10"/>
    <n v="6"/>
    <n v="2023"/>
    <s v="Saturday"/>
    <s v="June"/>
    <d v="2023-06-10T00:00:00"/>
    <x v="533"/>
    <x v="0"/>
    <x v="0"/>
    <x v="5"/>
    <x v="1"/>
    <n v="2"/>
    <n v="500"/>
    <n v="1000"/>
    <n v="15"/>
    <n v="20"/>
  </r>
  <r>
    <x v="534"/>
    <n v="6"/>
    <n v="12"/>
    <n v="2023"/>
    <s v="Wednesday"/>
    <s v="December"/>
    <d v="2023-12-06T00:00:00"/>
    <x v="534"/>
    <x v="0"/>
    <x v="0"/>
    <x v="16"/>
    <x v="0"/>
    <n v="3"/>
    <n v="30"/>
    <n v="90"/>
    <n v="1.3499999999999999"/>
    <n v="1.8"/>
  </r>
  <r>
    <x v="535"/>
    <n v="5"/>
    <n v="3"/>
    <n v="2023"/>
    <s v="Sunday"/>
    <s v="March"/>
    <d v="2023-03-05T00:00:00"/>
    <x v="535"/>
    <x v="1"/>
    <x v="0"/>
    <x v="28"/>
    <x v="0"/>
    <n v="4"/>
    <n v="30"/>
    <n v="120"/>
    <n v="1.7999999999999998"/>
    <n v="2.4"/>
  </r>
  <r>
    <x v="536"/>
    <n v="3"/>
    <n v="6"/>
    <n v="2023"/>
    <s v="Saturday"/>
    <s v="June"/>
    <d v="2023-06-03T00:00:00"/>
    <x v="536"/>
    <x v="1"/>
    <x v="1"/>
    <x v="34"/>
    <x v="0"/>
    <n v="1"/>
    <n v="500"/>
    <n v="500"/>
    <n v="7.5"/>
    <n v="10"/>
  </r>
  <r>
    <x v="537"/>
    <n v="17"/>
    <n v="9"/>
    <n v="2023"/>
    <s v="Sunday"/>
    <s v="September"/>
    <d v="2023-09-17T00:00:00"/>
    <x v="537"/>
    <x v="0"/>
    <x v="1"/>
    <x v="18"/>
    <x v="1"/>
    <n v="3"/>
    <n v="50"/>
    <n v="150"/>
    <n v="2.25"/>
    <n v="3"/>
  </r>
  <r>
    <x v="538"/>
    <n v="8"/>
    <n v="6"/>
    <n v="2023"/>
    <s v="Thursday"/>
    <s v="June"/>
    <d v="2023-06-08T00:00:00"/>
    <x v="538"/>
    <x v="0"/>
    <x v="1"/>
    <x v="36"/>
    <x v="0"/>
    <n v="1"/>
    <n v="500"/>
    <n v="500"/>
    <n v="7.5"/>
    <n v="10"/>
  </r>
  <r>
    <x v="539"/>
    <n v="8"/>
    <n v="12"/>
    <n v="2023"/>
    <s v="Friday"/>
    <s v="December"/>
    <d v="2023-12-08T00:00:00"/>
    <x v="539"/>
    <x v="1"/>
    <x v="0"/>
    <x v="6"/>
    <x v="2"/>
    <n v="3"/>
    <n v="300"/>
    <n v="900"/>
    <n v="13.5"/>
    <n v="18"/>
  </r>
  <r>
    <x v="540"/>
    <n v="29"/>
    <n v="7"/>
    <n v="2023"/>
    <s v="Saturday"/>
    <s v="July"/>
    <d v="2023-07-29T00:00:00"/>
    <x v="540"/>
    <x v="0"/>
    <x v="0"/>
    <x v="37"/>
    <x v="0"/>
    <n v="1"/>
    <n v="500"/>
    <n v="500"/>
    <n v="7.5"/>
    <n v="10"/>
  </r>
  <r>
    <x v="541"/>
    <n v="17"/>
    <n v="6"/>
    <n v="2023"/>
    <s v="Saturday"/>
    <s v="June"/>
    <d v="2023-06-17T00:00:00"/>
    <x v="541"/>
    <x v="1"/>
    <x v="1"/>
    <x v="29"/>
    <x v="0"/>
    <n v="1"/>
    <n v="50"/>
    <n v="50"/>
    <n v="0.75"/>
    <n v="1"/>
  </r>
  <r>
    <x v="542"/>
    <n v="26"/>
    <n v="7"/>
    <n v="2023"/>
    <s v="Wednesday"/>
    <s v="July"/>
    <d v="2023-07-26T00:00:00"/>
    <x v="542"/>
    <x v="0"/>
    <x v="0"/>
    <x v="19"/>
    <x v="0"/>
    <n v="2"/>
    <n v="300"/>
    <n v="600"/>
    <n v="9"/>
    <n v="12"/>
  </r>
  <r>
    <x v="543"/>
    <n v="23"/>
    <n v="12"/>
    <n v="2023"/>
    <s v="Saturday"/>
    <s v="December"/>
    <d v="2023-12-23T00:00:00"/>
    <x v="543"/>
    <x v="1"/>
    <x v="1"/>
    <x v="15"/>
    <x v="2"/>
    <n v="1"/>
    <n v="25"/>
    <n v="25"/>
    <n v="0.375"/>
    <n v="0.5"/>
  </r>
  <r>
    <x v="544"/>
    <n v="1"/>
    <n v="6"/>
    <n v="2023"/>
    <s v="Thursday"/>
    <s v="June"/>
    <d v="2023-06-01T00:00:00"/>
    <x v="544"/>
    <x v="0"/>
    <x v="1"/>
    <x v="15"/>
    <x v="1"/>
    <n v="2"/>
    <n v="25"/>
    <n v="50"/>
    <n v="0.75"/>
    <n v="1"/>
  </r>
  <r>
    <x v="545"/>
    <n v="11"/>
    <n v="10"/>
    <n v="2023"/>
    <s v="Wednesday"/>
    <s v="October"/>
    <d v="2023-10-11T00:00:00"/>
    <x v="545"/>
    <x v="1"/>
    <x v="0"/>
    <x v="32"/>
    <x v="2"/>
    <n v="4"/>
    <n v="50"/>
    <n v="200"/>
    <n v="3"/>
    <n v="4"/>
  </r>
  <r>
    <x v="546"/>
    <n v="7"/>
    <n v="3"/>
    <n v="2023"/>
    <s v="Tuesday"/>
    <s v="March"/>
    <d v="2023-03-07T00:00:00"/>
    <x v="546"/>
    <x v="0"/>
    <x v="0"/>
    <x v="7"/>
    <x v="1"/>
    <n v="4"/>
    <n v="500"/>
    <n v="2000"/>
    <n v="30"/>
    <n v="40"/>
  </r>
  <r>
    <x v="547"/>
    <n v="9"/>
    <n v="4"/>
    <n v="2023"/>
    <s v="Sunday"/>
    <s v="April"/>
    <d v="2023-04-09T00:00:00"/>
    <x v="547"/>
    <x v="1"/>
    <x v="0"/>
    <x v="25"/>
    <x v="1"/>
    <n v="2"/>
    <n v="30"/>
    <n v="60"/>
    <n v="0.89999999999999991"/>
    <n v="1.2"/>
  </r>
  <r>
    <x v="548"/>
    <n v="4"/>
    <n v="8"/>
    <n v="2023"/>
    <s v="Friday"/>
    <s v="August"/>
    <d v="2023-08-04T00:00:00"/>
    <x v="548"/>
    <x v="1"/>
    <x v="0"/>
    <x v="2"/>
    <x v="0"/>
    <n v="2"/>
    <n v="50"/>
    <n v="100"/>
    <n v="1.5"/>
    <n v="2"/>
  </r>
  <r>
    <x v="549"/>
    <n v="7"/>
    <n v="12"/>
    <n v="2023"/>
    <s v="Thursday"/>
    <s v="December"/>
    <d v="2023-12-07T00:00:00"/>
    <x v="549"/>
    <x v="0"/>
    <x v="0"/>
    <x v="30"/>
    <x v="1"/>
    <n v="3"/>
    <n v="300"/>
    <n v="900"/>
    <n v="13.5"/>
    <n v="18"/>
  </r>
  <r>
    <x v="550"/>
    <n v="14"/>
    <n v="7"/>
    <n v="2023"/>
    <s v="Friday"/>
    <s v="July"/>
    <d v="2023-07-14T00:00:00"/>
    <x v="550"/>
    <x v="0"/>
    <x v="0"/>
    <x v="5"/>
    <x v="2"/>
    <n v="3"/>
    <n v="300"/>
    <n v="900"/>
    <n v="13.5"/>
    <n v="18"/>
  </r>
  <r>
    <x v="551"/>
    <n v="13"/>
    <n v="12"/>
    <n v="2023"/>
    <s v="Wednesday"/>
    <s v="December"/>
    <d v="2023-12-13T00:00:00"/>
    <x v="551"/>
    <x v="1"/>
    <x v="0"/>
    <x v="19"/>
    <x v="2"/>
    <n v="3"/>
    <n v="25"/>
    <n v="75"/>
    <n v="1.125"/>
    <n v="1.5"/>
  </r>
  <r>
    <x v="552"/>
    <n v="31"/>
    <n v="3"/>
    <n v="2023"/>
    <s v="Friday"/>
    <s v="March"/>
    <d v="2023-03-31T00:00:00"/>
    <x v="552"/>
    <x v="0"/>
    <x v="1"/>
    <x v="46"/>
    <x v="1"/>
    <n v="4"/>
    <n v="300"/>
    <n v="1200"/>
    <n v="18"/>
    <n v="24"/>
  </r>
  <r>
    <x v="553"/>
    <n v="12"/>
    <n v="11"/>
    <n v="2023"/>
    <s v="Sunday"/>
    <s v="November"/>
    <d v="2023-11-12T00:00:00"/>
    <x v="553"/>
    <x v="1"/>
    <x v="0"/>
    <x v="6"/>
    <x v="0"/>
    <n v="3"/>
    <n v="50"/>
    <n v="150"/>
    <n v="2.25"/>
    <n v="3"/>
  </r>
  <r>
    <x v="554"/>
    <n v="19"/>
    <n v="10"/>
    <n v="2023"/>
    <s v="Thursday"/>
    <s v="October"/>
    <d v="2023-10-19T00:00:00"/>
    <x v="554"/>
    <x v="0"/>
    <x v="1"/>
    <x v="36"/>
    <x v="0"/>
    <n v="1"/>
    <n v="300"/>
    <n v="300"/>
    <n v="4.5"/>
    <n v="6"/>
  </r>
  <r>
    <x v="555"/>
    <n v="4"/>
    <n v="6"/>
    <n v="2023"/>
    <s v="Sunday"/>
    <s v="June"/>
    <d v="2023-06-04T00:00:00"/>
    <x v="555"/>
    <x v="1"/>
    <x v="1"/>
    <x v="18"/>
    <x v="2"/>
    <n v="1"/>
    <n v="50"/>
    <n v="50"/>
    <n v="0.75"/>
    <n v="1"/>
  </r>
  <r>
    <x v="556"/>
    <n v="27"/>
    <n v="7"/>
    <n v="2023"/>
    <s v="Thursday"/>
    <s v="July"/>
    <d v="2023-07-27T00:00:00"/>
    <x v="556"/>
    <x v="1"/>
    <x v="1"/>
    <x v="29"/>
    <x v="0"/>
    <n v="3"/>
    <n v="30"/>
    <n v="90"/>
    <n v="1.3499999999999999"/>
    <n v="1.8"/>
  </r>
  <r>
    <x v="557"/>
    <n v="8"/>
    <n v="10"/>
    <n v="2023"/>
    <s v="Sunday"/>
    <s v="October"/>
    <d v="2023-10-08T00:00:00"/>
    <x v="557"/>
    <x v="1"/>
    <x v="0"/>
    <x v="41"/>
    <x v="1"/>
    <n v="1"/>
    <n v="25"/>
    <n v="25"/>
    <n v="0.375"/>
    <n v="0.5"/>
  </r>
  <r>
    <x v="558"/>
    <n v="1"/>
    <n v="1"/>
    <n v="2023"/>
    <s v="Sunday"/>
    <s v="January"/>
    <d v="2023-01-01T00:00:00"/>
    <x v="558"/>
    <x v="1"/>
    <x v="0"/>
    <x v="30"/>
    <x v="1"/>
    <n v="4"/>
    <n v="300"/>
    <n v="1200"/>
    <n v="18"/>
    <n v="24"/>
  </r>
  <r>
    <x v="559"/>
    <n v="5"/>
    <n v="6"/>
    <n v="2023"/>
    <s v="Monday"/>
    <s v="June"/>
    <d v="2023-06-05T00:00:00"/>
    <x v="559"/>
    <x v="1"/>
    <x v="1"/>
    <x v="36"/>
    <x v="2"/>
    <n v="1"/>
    <n v="50"/>
    <n v="50"/>
    <n v="0.75"/>
    <n v="1"/>
  </r>
  <r>
    <x v="560"/>
    <n v="27"/>
    <n v="5"/>
    <n v="2023"/>
    <s v="Saturday"/>
    <s v="May"/>
    <d v="2023-05-27T00:00:00"/>
    <x v="560"/>
    <x v="1"/>
    <x v="0"/>
    <x v="12"/>
    <x v="1"/>
    <n v="4"/>
    <n v="500"/>
    <n v="2000"/>
    <n v="30"/>
    <n v="40"/>
  </r>
  <r>
    <x v="561"/>
    <n v="18"/>
    <n v="4"/>
    <n v="2023"/>
    <s v="Tuesday"/>
    <s v="April"/>
    <d v="2023-04-18T00:00:00"/>
    <x v="561"/>
    <x v="0"/>
    <x v="0"/>
    <x v="31"/>
    <x v="2"/>
    <n v="2"/>
    <n v="25"/>
    <n v="50"/>
    <n v="0.75"/>
    <n v="1"/>
  </r>
  <r>
    <x v="562"/>
    <n v="9"/>
    <n v="8"/>
    <n v="2023"/>
    <s v="Wednesday"/>
    <s v="August"/>
    <d v="2023-08-09T00:00:00"/>
    <x v="562"/>
    <x v="0"/>
    <x v="1"/>
    <x v="29"/>
    <x v="1"/>
    <n v="2"/>
    <n v="30"/>
    <n v="60"/>
    <n v="0.89999999999999991"/>
    <n v="1.2"/>
  </r>
  <r>
    <x v="563"/>
    <n v="24"/>
    <n v="10"/>
    <n v="2023"/>
    <s v="Tuesday"/>
    <s v="October"/>
    <d v="2023-10-24T00:00:00"/>
    <x v="563"/>
    <x v="0"/>
    <x v="0"/>
    <x v="2"/>
    <x v="2"/>
    <n v="2"/>
    <n v="50"/>
    <n v="100"/>
    <n v="1.5"/>
    <n v="2"/>
  </r>
  <r>
    <x v="564"/>
    <n v="7"/>
    <n v="11"/>
    <n v="2023"/>
    <s v="Tuesday"/>
    <s v="November"/>
    <d v="2023-11-07T00:00:00"/>
    <x v="564"/>
    <x v="1"/>
    <x v="0"/>
    <x v="5"/>
    <x v="0"/>
    <n v="2"/>
    <n v="30"/>
    <n v="60"/>
    <n v="0.89999999999999991"/>
    <n v="1.2"/>
  </r>
  <r>
    <x v="565"/>
    <n v="2"/>
    <n v="12"/>
    <n v="2023"/>
    <s v="Saturday"/>
    <s v="December"/>
    <d v="2023-12-02T00:00:00"/>
    <x v="565"/>
    <x v="1"/>
    <x v="0"/>
    <x v="12"/>
    <x v="1"/>
    <n v="1"/>
    <n v="30"/>
    <n v="30"/>
    <n v="0.44999999999999996"/>
    <n v="0.6"/>
  </r>
  <r>
    <x v="566"/>
    <n v="14"/>
    <n v="6"/>
    <n v="2023"/>
    <s v="Wednesday"/>
    <s v="June"/>
    <d v="2023-06-14T00:00:00"/>
    <x v="566"/>
    <x v="1"/>
    <x v="1"/>
    <x v="36"/>
    <x v="1"/>
    <n v="3"/>
    <n v="300"/>
    <n v="900"/>
    <n v="13.5"/>
    <n v="18"/>
  </r>
  <r>
    <x v="567"/>
    <n v="27"/>
    <n v="8"/>
    <n v="2023"/>
    <s v="Sunday"/>
    <s v="August"/>
    <d v="2023-08-27T00:00:00"/>
    <x v="567"/>
    <x v="1"/>
    <x v="0"/>
    <x v="25"/>
    <x v="2"/>
    <n v="1"/>
    <n v="300"/>
    <n v="300"/>
    <n v="4.5"/>
    <n v="6"/>
  </r>
  <r>
    <x v="568"/>
    <n v="15"/>
    <n v="8"/>
    <n v="2023"/>
    <s v="Tuesday"/>
    <s v="August"/>
    <d v="2023-08-15T00:00:00"/>
    <x v="568"/>
    <x v="0"/>
    <x v="0"/>
    <x v="8"/>
    <x v="2"/>
    <n v="4"/>
    <n v="50"/>
    <n v="200"/>
    <n v="3"/>
    <n v="4"/>
  </r>
  <r>
    <x v="569"/>
    <n v="15"/>
    <n v="8"/>
    <n v="2023"/>
    <s v="Tuesday"/>
    <s v="August"/>
    <d v="2023-08-15T00:00:00"/>
    <x v="569"/>
    <x v="0"/>
    <x v="0"/>
    <x v="19"/>
    <x v="1"/>
    <n v="1"/>
    <n v="500"/>
    <n v="500"/>
    <n v="7.5"/>
    <n v="10"/>
  </r>
  <r>
    <x v="570"/>
    <n v="12"/>
    <n v="12"/>
    <n v="2023"/>
    <s v="Tuesday"/>
    <s v="December"/>
    <d v="2023-12-12T00:00:00"/>
    <x v="570"/>
    <x v="1"/>
    <x v="0"/>
    <x v="41"/>
    <x v="2"/>
    <n v="1"/>
    <n v="50"/>
    <n v="50"/>
    <n v="0.75"/>
    <n v="1"/>
  </r>
  <r>
    <x v="571"/>
    <n v="20"/>
    <n v="4"/>
    <n v="2023"/>
    <s v="Thursday"/>
    <s v="April"/>
    <d v="2023-04-20T00:00:00"/>
    <x v="571"/>
    <x v="0"/>
    <x v="0"/>
    <x v="33"/>
    <x v="1"/>
    <n v="4"/>
    <n v="500"/>
    <n v="2000"/>
    <n v="30"/>
    <n v="40"/>
  </r>
  <r>
    <x v="572"/>
    <n v="19"/>
    <n v="9"/>
    <n v="2023"/>
    <s v="Tuesday"/>
    <s v="September"/>
    <d v="2023-09-19T00:00:00"/>
    <x v="572"/>
    <x v="0"/>
    <x v="0"/>
    <x v="19"/>
    <x v="0"/>
    <n v="2"/>
    <n v="30"/>
    <n v="60"/>
    <n v="0.89999999999999991"/>
    <n v="1.2"/>
  </r>
  <r>
    <x v="573"/>
    <n v="31"/>
    <n v="8"/>
    <n v="2023"/>
    <s v="Thursday"/>
    <s v="August"/>
    <d v="2023-08-31T00:00:00"/>
    <x v="573"/>
    <x v="1"/>
    <x v="0"/>
    <x v="7"/>
    <x v="2"/>
    <n v="2"/>
    <n v="25"/>
    <n v="50"/>
    <n v="0.75"/>
    <n v="1"/>
  </r>
  <r>
    <x v="574"/>
    <n v="28"/>
    <n v="3"/>
    <n v="2023"/>
    <s v="Tuesday"/>
    <s v="March"/>
    <d v="2023-03-28T00:00:00"/>
    <x v="574"/>
    <x v="0"/>
    <x v="0"/>
    <x v="43"/>
    <x v="1"/>
    <n v="2"/>
    <n v="50"/>
    <n v="100"/>
    <n v="1.5"/>
    <n v="2"/>
  </r>
  <r>
    <x v="575"/>
    <n v="4"/>
    <n v="12"/>
    <n v="2023"/>
    <s v="Monday"/>
    <s v="December"/>
    <d v="2023-12-04T00:00:00"/>
    <x v="575"/>
    <x v="1"/>
    <x v="0"/>
    <x v="44"/>
    <x v="0"/>
    <n v="3"/>
    <n v="50"/>
    <n v="150"/>
    <n v="2.25"/>
    <n v="3"/>
  </r>
  <r>
    <x v="576"/>
    <n v="13"/>
    <n v="2"/>
    <n v="2023"/>
    <s v="Monday"/>
    <s v="February"/>
    <d v="2023-02-13T00:00:00"/>
    <x v="576"/>
    <x v="0"/>
    <x v="1"/>
    <x v="34"/>
    <x v="0"/>
    <n v="4"/>
    <n v="500"/>
    <n v="2000"/>
    <n v="30"/>
    <n v="40"/>
  </r>
  <r>
    <x v="577"/>
    <n v="26"/>
    <n v="5"/>
    <n v="2023"/>
    <s v="Friday"/>
    <s v="May"/>
    <d v="2023-05-26T00:00:00"/>
    <x v="577"/>
    <x v="1"/>
    <x v="0"/>
    <x v="31"/>
    <x v="1"/>
    <n v="4"/>
    <n v="30"/>
    <n v="120"/>
    <n v="1.7999999999999998"/>
    <n v="2.4"/>
  </r>
  <r>
    <x v="578"/>
    <n v="21"/>
    <n v="9"/>
    <n v="2023"/>
    <s v="Thursday"/>
    <s v="September"/>
    <d v="2023-09-21T00:00:00"/>
    <x v="578"/>
    <x v="1"/>
    <x v="0"/>
    <x v="21"/>
    <x v="2"/>
    <n v="1"/>
    <n v="30"/>
    <n v="30"/>
    <n v="0.44999999999999996"/>
    <n v="0.6"/>
  </r>
  <r>
    <x v="579"/>
    <n v="6"/>
    <n v="12"/>
    <n v="2023"/>
    <s v="Wednesday"/>
    <s v="December"/>
    <d v="2023-12-06T00:00:00"/>
    <x v="579"/>
    <x v="1"/>
    <x v="0"/>
    <x v="33"/>
    <x v="1"/>
    <n v="3"/>
    <n v="500"/>
    <n v="1500"/>
    <n v="22.5"/>
    <n v="30"/>
  </r>
  <r>
    <x v="580"/>
    <n v="21"/>
    <n v="11"/>
    <n v="2023"/>
    <s v="Tuesday"/>
    <s v="November"/>
    <d v="2023-11-21T00:00:00"/>
    <x v="580"/>
    <x v="1"/>
    <x v="0"/>
    <x v="27"/>
    <x v="0"/>
    <n v="2"/>
    <n v="30"/>
    <n v="60"/>
    <n v="0.89999999999999991"/>
    <n v="1.2"/>
  </r>
  <r>
    <x v="581"/>
    <n v="14"/>
    <n v="11"/>
    <n v="2023"/>
    <s v="Tuesday"/>
    <s v="November"/>
    <d v="2023-11-14T00:00:00"/>
    <x v="581"/>
    <x v="0"/>
    <x v="0"/>
    <x v="10"/>
    <x v="1"/>
    <n v="3"/>
    <n v="300"/>
    <n v="900"/>
    <n v="13.5"/>
    <n v="18"/>
  </r>
  <r>
    <x v="582"/>
    <n v="21"/>
    <n v="6"/>
    <n v="2023"/>
    <s v="Wednesday"/>
    <s v="June"/>
    <d v="2023-06-21T00:00:00"/>
    <x v="582"/>
    <x v="1"/>
    <x v="1"/>
    <x v="46"/>
    <x v="2"/>
    <n v="4"/>
    <n v="25"/>
    <n v="100"/>
    <n v="1.5"/>
    <n v="2"/>
  </r>
  <r>
    <x v="583"/>
    <n v="17"/>
    <n v="2"/>
    <n v="2023"/>
    <s v="Friday"/>
    <s v="February"/>
    <d v="2023-02-17T00:00:00"/>
    <x v="583"/>
    <x v="1"/>
    <x v="1"/>
    <x v="15"/>
    <x v="0"/>
    <n v="4"/>
    <n v="50"/>
    <n v="200"/>
    <n v="3"/>
    <n v="4"/>
  </r>
  <r>
    <x v="584"/>
    <n v="1"/>
    <n v="5"/>
    <n v="2023"/>
    <s v="Monday"/>
    <s v="May"/>
    <d v="2023-05-01T00:00:00"/>
    <x v="584"/>
    <x v="1"/>
    <x v="1"/>
    <x v="46"/>
    <x v="1"/>
    <n v="1"/>
    <n v="25"/>
    <n v="25"/>
    <n v="0.375"/>
    <n v="0.5"/>
  </r>
  <r>
    <x v="585"/>
    <n v="11"/>
    <n v="12"/>
    <n v="2023"/>
    <s v="Monday"/>
    <s v="December"/>
    <d v="2023-12-11T00:00:00"/>
    <x v="585"/>
    <x v="0"/>
    <x v="0"/>
    <x v="2"/>
    <x v="2"/>
    <n v="1"/>
    <n v="50"/>
    <n v="50"/>
    <n v="0.75"/>
    <n v="1"/>
  </r>
  <r>
    <x v="586"/>
    <n v="8"/>
    <n v="6"/>
    <n v="2023"/>
    <s v="Thursday"/>
    <s v="June"/>
    <d v="2023-06-08T00:00:00"/>
    <x v="586"/>
    <x v="1"/>
    <x v="0"/>
    <x v="30"/>
    <x v="0"/>
    <n v="4"/>
    <n v="300"/>
    <n v="1200"/>
    <n v="18"/>
    <n v="24"/>
  </r>
  <r>
    <x v="587"/>
    <n v="26"/>
    <n v="4"/>
    <n v="2023"/>
    <s v="Wednesday"/>
    <s v="April"/>
    <d v="2023-04-26T00:00:00"/>
    <x v="587"/>
    <x v="0"/>
    <x v="0"/>
    <x v="21"/>
    <x v="2"/>
    <n v="2"/>
    <n v="30"/>
    <n v="60"/>
    <n v="0.89999999999999991"/>
    <n v="1.2"/>
  </r>
  <r>
    <x v="588"/>
    <n v="12"/>
    <n v="4"/>
    <n v="2023"/>
    <s v="Wednesday"/>
    <s v="April"/>
    <d v="2023-04-12T00:00:00"/>
    <x v="588"/>
    <x v="1"/>
    <x v="0"/>
    <x v="32"/>
    <x v="0"/>
    <n v="2"/>
    <n v="500"/>
    <n v="1000"/>
    <n v="15"/>
    <n v="20"/>
  </r>
  <r>
    <x v="589"/>
    <n v="17"/>
    <n v="3"/>
    <n v="2023"/>
    <s v="Friday"/>
    <s v="March"/>
    <d v="2023-03-17T00:00:00"/>
    <x v="589"/>
    <x v="0"/>
    <x v="0"/>
    <x v="32"/>
    <x v="1"/>
    <n v="3"/>
    <n v="300"/>
    <n v="900"/>
    <n v="13.5"/>
    <n v="18"/>
  </r>
  <r>
    <x v="590"/>
    <n v="13"/>
    <n v="1"/>
    <n v="2023"/>
    <s v="Friday"/>
    <s v="January"/>
    <d v="2023-01-13T00:00:00"/>
    <x v="590"/>
    <x v="0"/>
    <x v="0"/>
    <x v="45"/>
    <x v="2"/>
    <n v="4"/>
    <n v="25"/>
    <n v="100"/>
    <n v="1.5"/>
    <n v="2"/>
  </r>
  <r>
    <x v="591"/>
    <n v="24"/>
    <n v="1"/>
    <n v="2023"/>
    <s v="Tuesday"/>
    <s v="January"/>
    <d v="2023-01-24T00:00:00"/>
    <x v="591"/>
    <x v="1"/>
    <x v="0"/>
    <x v="6"/>
    <x v="0"/>
    <n v="4"/>
    <n v="500"/>
    <n v="2000"/>
    <n v="30"/>
    <n v="40"/>
  </r>
  <r>
    <x v="592"/>
    <n v="6"/>
    <n v="5"/>
    <n v="2023"/>
    <s v="Saturday"/>
    <s v="May"/>
    <d v="2023-05-06T00:00:00"/>
    <x v="592"/>
    <x v="0"/>
    <x v="0"/>
    <x v="10"/>
    <x v="2"/>
    <n v="2"/>
    <n v="30"/>
    <n v="60"/>
    <n v="0.89999999999999991"/>
    <n v="1.2"/>
  </r>
  <r>
    <x v="593"/>
    <n v="1"/>
    <n v="9"/>
    <n v="2023"/>
    <s v="Friday"/>
    <s v="September"/>
    <d v="2023-09-01T00:00:00"/>
    <x v="593"/>
    <x v="1"/>
    <x v="1"/>
    <x v="14"/>
    <x v="2"/>
    <n v="2"/>
    <n v="300"/>
    <n v="600"/>
    <n v="9"/>
    <n v="12"/>
  </r>
  <r>
    <x v="594"/>
    <n v="9"/>
    <n v="11"/>
    <n v="2023"/>
    <s v="Thursday"/>
    <s v="November"/>
    <d v="2023-11-09T00:00:00"/>
    <x v="594"/>
    <x v="1"/>
    <x v="1"/>
    <x v="18"/>
    <x v="1"/>
    <n v="4"/>
    <n v="500"/>
    <n v="2000"/>
    <n v="30"/>
    <n v="40"/>
  </r>
  <r>
    <x v="595"/>
    <n v="7"/>
    <n v="2"/>
    <n v="2023"/>
    <s v="Tuesday"/>
    <s v="February"/>
    <d v="2023-02-07T00:00:00"/>
    <x v="595"/>
    <x v="1"/>
    <x v="0"/>
    <x v="12"/>
    <x v="2"/>
    <n v="1"/>
    <n v="300"/>
    <n v="300"/>
    <n v="4.5"/>
    <n v="6"/>
  </r>
  <r>
    <x v="596"/>
    <n v="22"/>
    <n v="8"/>
    <n v="2023"/>
    <s v="Tuesday"/>
    <s v="August"/>
    <d v="2023-08-22T00:00:00"/>
    <x v="596"/>
    <x v="0"/>
    <x v="1"/>
    <x v="11"/>
    <x v="0"/>
    <n v="4"/>
    <n v="300"/>
    <n v="1200"/>
    <n v="18"/>
    <n v="24"/>
  </r>
  <r>
    <x v="597"/>
    <n v="1"/>
    <n v="8"/>
    <n v="2023"/>
    <s v="Tuesday"/>
    <s v="August"/>
    <d v="2023-08-01T00:00:00"/>
    <x v="597"/>
    <x v="0"/>
    <x v="0"/>
    <x v="3"/>
    <x v="0"/>
    <n v="4"/>
    <n v="30"/>
    <n v="120"/>
    <n v="1.7999999999999998"/>
    <n v="2.4"/>
  </r>
  <r>
    <x v="598"/>
    <n v="19"/>
    <n v="11"/>
    <n v="2023"/>
    <s v="Sunday"/>
    <s v="November"/>
    <d v="2023-11-19T00:00:00"/>
    <x v="598"/>
    <x v="1"/>
    <x v="1"/>
    <x v="20"/>
    <x v="0"/>
    <n v="2"/>
    <n v="50"/>
    <n v="100"/>
    <n v="1.5"/>
    <n v="2"/>
  </r>
  <r>
    <x v="599"/>
    <n v="22"/>
    <n v="10"/>
    <n v="2023"/>
    <s v="Sunday"/>
    <s v="October"/>
    <d v="2023-10-22T00:00:00"/>
    <x v="599"/>
    <x v="1"/>
    <x v="0"/>
    <x v="42"/>
    <x v="0"/>
    <n v="2"/>
    <n v="500"/>
    <n v="1000"/>
    <n v="15"/>
    <n v="20"/>
  </r>
  <r>
    <x v="600"/>
    <n v="10"/>
    <n v="4"/>
    <n v="2023"/>
    <s v="Monday"/>
    <s v="April"/>
    <d v="2023-04-10T00:00:00"/>
    <x v="600"/>
    <x v="0"/>
    <x v="1"/>
    <x v="14"/>
    <x v="1"/>
    <n v="1"/>
    <n v="30"/>
    <n v="30"/>
    <n v="0.44999999999999996"/>
    <n v="0.6"/>
  </r>
  <r>
    <x v="601"/>
    <n v="23"/>
    <n v="12"/>
    <n v="2023"/>
    <s v="Saturday"/>
    <s v="December"/>
    <d v="2023-12-23T00:00:00"/>
    <x v="601"/>
    <x v="1"/>
    <x v="1"/>
    <x v="29"/>
    <x v="2"/>
    <n v="1"/>
    <n v="300"/>
    <n v="300"/>
    <n v="4.5"/>
    <n v="6"/>
  </r>
  <r>
    <x v="602"/>
    <n v="16"/>
    <n v="7"/>
    <n v="2023"/>
    <s v="Sunday"/>
    <s v="July"/>
    <d v="2023-07-16T00:00:00"/>
    <x v="602"/>
    <x v="1"/>
    <x v="0"/>
    <x v="30"/>
    <x v="1"/>
    <n v="3"/>
    <n v="30"/>
    <n v="90"/>
    <n v="1.3499999999999999"/>
    <n v="1.8"/>
  </r>
  <r>
    <x v="603"/>
    <n v="11"/>
    <n v="9"/>
    <n v="2023"/>
    <s v="Monday"/>
    <s v="September"/>
    <d v="2023-09-11T00:00:00"/>
    <x v="603"/>
    <x v="1"/>
    <x v="1"/>
    <x v="38"/>
    <x v="2"/>
    <n v="4"/>
    <n v="50"/>
    <n v="200"/>
    <n v="3"/>
    <n v="4"/>
  </r>
  <r>
    <x v="604"/>
    <n v="24"/>
    <n v="7"/>
    <n v="2023"/>
    <s v="Monday"/>
    <s v="July"/>
    <d v="2023-07-24T00:00:00"/>
    <x v="604"/>
    <x v="0"/>
    <x v="0"/>
    <x v="3"/>
    <x v="2"/>
    <n v="2"/>
    <n v="500"/>
    <n v="1000"/>
    <n v="15"/>
    <n v="20"/>
  </r>
  <r>
    <x v="605"/>
    <n v="5"/>
    <n v="5"/>
    <n v="2023"/>
    <s v="Friday"/>
    <s v="May"/>
    <d v="2023-05-05T00:00:00"/>
    <x v="605"/>
    <x v="0"/>
    <x v="1"/>
    <x v="11"/>
    <x v="2"/>
    <n v="1"/>
    <n v="50"/>
    <n v="50"/>
    <n v="0.75"/>
    <n v="1"/>
  </r>
  <r>
    <x v="606"/>
    <n v="17"/>
    <n v="3"/>
    <n v="2023"/>
    <s v="Friday"/>
    <s v="March"/>
    <d v="2023-03-17T00:00:00"/>
    <x v="606"/>
    <x v="0"/>
    <x v="0"/>
    <x v="31"/>
    <x v="1"/>
    <n v="3"/>
    <n v="25"/>
    <n v="75"/>
    <n v="1.125"/>
    <n v="1.5"/>
  </r>
  <r>
    <x v="607"/>
    <n v="2"/>
    <n v="12"/>
    <n v="2023"/>
    <s v="Saturday"/>
    <s v="December"/>
    <d v="2023-12-02T00:00:00"/>
    <x v="607"/>
    <x v="1"/>
    <x v="0"/>
    <x v="28"/>
    <x v="2"/>
    <n v="3"/>
    <n v="500"/>
    <n v="1500"/>
    <n v="22.5"/>
    <n v="30"/>
  </r>
  <r>
    <x v="608"/>
    <n v="19"/>
    <n v="12"/>
    <n v="2023"/>
    <s v="Tuesday"/>
    <s v="December"/>
    <d v="2023-12-19T00:00:00"/>
    <x v="608"/>
    <x v="1"/>
    <x v="0"/>
    <x v="16"/>
    <x v="1"/>
    <n v="2"/>
    <n v="50"/>
    <n v="100"/>
    <n v="1.5"/>
    <n v="2"/>
  </r>
  <r>
    <x v="609"/>
    <n v="3"/>
    <n v="1"/>
    <n v="2023"/>
    <s v="Tuesday"/>
    <s v="January"/>
    <d v="2023-01-03T00:00:00"/>
    <x v="609"/>
    <x v="1"/>
    <x v="1"/>
    <x v="1"/>
    <x v="0"/>
    <n v="2"/>
    <n v="300"/>
    <n v="600"/>
    <n v="9"/>
    <n v="12"/>
  </r>
  <r>
    <x v="610"/>
    <n v="24"/>
    <n v="2"/>
    <n v="2023"/>
    <s v="Friday"/>
    <s v="February"/>
    <d v="2023-02-24T00:00:00"/>
    <x v="610"/>
    <x v="0"/>
    <x v="0"/>
    <x v="25"/>
    <x v="0"/>
    <n v="3"/>
    <n v="500"/>
    <n v="1500"/>
    <n v="22.5"/>
    <n v="30"/>
  </r>
  <r>
    <x v="611"/>
    <n v="6"/>
    <n v="8"/>
    <n v="2023"/>
    <s v="Sunday"/>
    <s v="August"/>
    <d v="2023-08-06T00:00:00"/>
    <x v="611"/>
    <x v="1"/>
    <x v="0"/>
    <x v="39"/>
    <x v="2"/>
    <n v="1"/>
    <n v="500"/>
    <n v="500"/>
    <n v="7.5"/>
    <n v="10"/>
  </r>
  <r>
    <x v="612"/>
    <n v="23"/>
    <n v="4"/>
    <n v="2023"/>
    <s v="Sunday"/>
    <s v="April"/>
    <d v="2023-04-23T00:00:00"/>
    <x v="612"/>
    <x v="1"/>
    <x v="0"/>
    <x v="8"/>
    <x v="1"/>
    <n v="3"/>
    <n v="30"/>
    <n v="90"/>
    <n v="1.3499999999999999"/>
    <n v="1.8"/>
  </r>
  <r>
    <x v="613"/>
    <n v="1"/>
    <n v="4"/>
    <n v="2023"/>
    <s v="Saturday"/>
    <s v="April"/>
    <d v="2023-04-01T00:00:00"/>
    <x v="613"/>
    <x v="1"/>
    <x v="0"/>
    <x v="23"/>
    <x v="0"/>
    <n v="4"/>
    <n v="300"/>
    <n v="1200"/>
    <n v="18"/>
    <n v="24"/>
  </r>
  <r>
    <x v="614"/>
    <n v="23"/>
    <n v="12"/>
    <n v="2023"/>
    <s v="Saturday"/>
    <s v="December"/>
    <d v="2023-12-23T00:00:00"/>
    <x v="614"/>
    <x v="1"/>
    <x v="0"/>
    <x v="39"/>
    <x v="1"/>
    <n v="4"/>
    <n v="25"/>
    <n v="100"/>
    <n v="1.5"/>
    <n v="2"/>
  </r>
  <r>
    <x v="615"/>
    <n v="23"/>
    <n v="9"/>
    <n v="2023"/>
    <s v="Saturday"/>
    <s v="September"/>
    <d v="2023-09-23T00:00:00"/>
    <x v="615"/>
    <x v="0"/>
    <x v="0"/>
    <x v="41"/>
    <x v="1"/>
    <n v="2"/>
    <n v="50"/>
    <n v="100"/>
    <n v="1.5"/>
    <n v="2"/>
  </r>
  <r>
    <x v="616"/>
    <n v="26"/>
    <n v="8"/>
    <n v="2023"/>
    <s v="Saturday"/>
    <s v="August"/>
    <d v="2023-08-26T00:00:00"/>
    <x v="616"/>
    <x v="0"/>
    <x v="0"/>
    <x v="0"/>
    <x v="2"/>
    <n v="1"/>
    <n v="30"/>
    <n v="30"/>
    <n v="0.44999999999999996"/>
    <n v="0.6"/>
  </r>
  <r>
    <x v="617"/>
    <n v="26"/>
    <n v="1"/>
    <n v="2023"/>
    <s v="Thursday"/>
    <s v="January"/>
    <d v="2023-01-26T00:00:00"/>
    <x v="617"/>
    <x v="1"/>
    <x v="1"/>
    <x v="15"/>
    <x v="0"/>
    <n v="1"/>
    <n v="50"/>
    <n v="50"/>
    <n v="0.75"/>
    <n v="1"/>
  </r>
  <r>
    <x v="618"/>
    <n v="13"/>
    <n v="10"/>
    <n v="2023"/>
    <s v="Friday"/>
    <s v="October"/>
    <d v="2023-10-13T00:00:00"/>
    <x v="618"/>
    <x v="0"/>
    <x v="0"/>
    <x v="16"/>
    <x v="2"/>
    <n v="4"/>
    <n v="25"/>
    <n v="100"/>
    <n v="1.5"/>
    <n v="2"/>
  </r>
  <r>
    <x v="619"/>
    <n v="8"/>
    <n v="5"/>
    <n v="2023"/>
    <s v="Monday"/>
    <s v="May"/>
    <d v="2023-05-08T00:00:00"/>
    <x v="619"/>
    <x v="0"/>
    <x v="0"/>
    <x v="7"/>
    <x v="2"/>
    <n v="3"/>
    <n v="25"/>
    <n v="75"/>
    <n v="1.125"/>
    <n v="1.5"/>
  </r>
  <r>
    <x v="620"/>
    <n v="4"/>
    <n v="3"/>
    <n v="2023"/>
    <s v="Saturday"/>
    <s v="March"/>
    <d v="2023-03-04T00:00:00"/>
    <x v="620"/>
    <x v="1"/>
    <x v="0"/>
    <x v="30"/>
    <x v="0"/>
    <n v="2"/>
    <n v="500"/>
    <n v="1000"/>
    <n v="15"/>
    <n v="20"/>
  </r>
  <r>
    <x v="621"/>
    <n v="22"/>
    <n v="8"/>
    <n v="2023"/>
    <s v="Tuesday"/>
    <s v="August"/>
    <d v="2023-08-22T00:00:00"/>
    <x v="621"/>
    <x v="1"/>
    <x v="0"/>
    <x v="19"/>
    <x v="0"/>
    <n v="3"/>
    <n v="25"/>
    <n v="75"/>
    <n v="1.125"/>
    <n v="1.5"/>
  </r>
  <r>
    <x v="622"/>
    <n v="10"/>
    <n v="3"/>
    <n v="2023"/>
    <s v="Friday"/>
    <s v="March"/>
    <d v="2023-03-10T00:00:00"/>
    <x v="622"/>
    <x v="0"/>
    <x v="0"/>
    <x v="0"/>
    <x v="1"/>
    <n v="3"/>
    <n v="50"/>
    <n v="150"/>
    <n v="2.25"/>
    <n v="3"/>
  </r>
  <r>
    <x v="623"/>
    <n v="26"/>
    <n v="8"/>
    <n v="2023"/>
    <s v="Saturday"/>
    <s v="August"/>
    <d v="2023-08-26T00:00:00"/>
    <x v="623"/>
    <x v="1"/>
    <x v="0"/>
    <x v="0"/>
    <x v="0"/>
    <n v="3"/>
    <n v="300"/>
    <n v="900"/>
    <n v="13.5"/>
    <n v="18"/>
  </r>
  <r>
    <x v="624"/>
    <n v="8"/>
    <n v="12"/>
    <n v="2023"/>
    <s v="Friday"/>
    <s v="December"/>
    <d v="2023-12-08T00:00:00"/>
    <x v="624"/>
    <x v="0"/>
    <x v="0"/>
    <x v="33"/>
    <x v="1"/>
    <n v="1"/>
    <n v="300"/>
    <n v="300"/>
    <n v="4.5"/>
    <n v="6"/>
  </r>
  <r>
    <x v="625"/>
    <n v="29"/>
    <n v="9"/>
    <n v="2023"/>
    <s v="Friday"/>
    <s v="September"/>
    <d v="2023-09-29T00:00:00"/>
    <x v="625"/>
    <x v="1"/>
    <x v="1"/>
    <x v="1"/>
    <x v="1"/>
    <n v="4"/>
    <n v="500"/>
    <n v="2000"/>
    <n v="30"/>
    <n v="40"/>
  </r>
  <r>
    <x v="626"/>
    <n v="14"/>
    <n v="10"/>
    <n v="2023"/>
    <s v="Saturday"/>
    <s v="October"/>
    <d v="2023-10-14T00:00:00"/>
    <x v="626"/>
    <x v="0"/>
    <x v="0"/>
    <x v="35"/>
    <x v="1"/>
    <n v="1"/>
    <n v="50"/>
    <n v="50"/>
    <n v="0.75"/>
    <n v="1"/>
  </r>
  <r>
    <x v="627"/>
    <n v="1"/>
    <n v="11"/>
    <n v="2023"/>
    <s v="Wednesday"/>
    <s v="November"/>
    <d v="2023-11-01T00:00:00"/>
    <x v="627"/>
    <x v="1"/>
    <x v="1"/>
    <x v="14"/>
    <x v="0"/>
    <n v="4"/>
    <n v="50"/>
    <n v="200"/>
    <n v="3"/>
    <n v="4"/>
  </r>
  <r>
    <x v="628"/>
    <n v="12"/>
    <n v="6"/>
    <n v="2023"/>
    <s v="Monday"/>
    <s v="June"/>
    <d v="2023-06-12T00:00:00"/>
    <x v="628"/>
    <x v="0"/>
    <x v="0"/>
    <x v="17"/>
    <x v="2"/>
    <n v="2"/>
    <n v="25"/>
    <n v="50"/>
    <n v="0.75"/>
    <n v="1"/>
  </r>
  <r>
    <x v="629"/>
    <n v="15"/>
    <n v="8"/>
    <n v="2023"/>
    <s v="Tuesday"/>
    <s v="August"/>
    <d v="2023-08-15T00:00:00"/>
    <x v="629"/>
    <x v="0"/>
    <x v="0"/>
    <x v="13"/>
    <x v="1"/>
    <n v="2"/>
    <n v="50"/>
    <n v="100"/>
    <n v="1.5"/>
    <n v="2"/>
  </r>
  <r>
    <x v="630"/>
    <n v="10"/>
    <n v="11"/>
    <n v="2023"/>
    <s v="Friday"/>
    <s v="November"/>
    <d v="2023-11-10T00:00:00"/>
    <x v="630"/>
    <x v="0"/>
    <x v="0"/>
    <x v="37"/>
    <x v="2"/>
    <n v="3"/>
    <n v="30"/>
    <n v="90"/>
    <n v="1.3499999999999999"/>
    <n v="1.8"/>
  </r>
  <r>
    <x v="631"/>
    <n v="16"/>
    <n v="9"/>
    <n v="2023"/>
    <s v="Saturday"/>
    <s v="September"/>
    <d v="2023-09-16T00:00:00"/>
    <x v="631"/>
    <x v="1"/>
    <x v="1"/>
    <x v="1"/>
    <x v="2"/>
    <n v="4"/>
    <n v="25"/>
    <n v="100"/>
    <n v="1.5"/>
    <n v="2"/>
  </r>
  <r>
    <x v="632"/>
    <n v="7"/>
    <n v="8"/>
    <n v="2023"/>
    <s v="Monday"/>
    <s v="August"/>
    <d v="2023-08-07T00:00:00"/>
    <x v="632"/>
    <x v="0"/>
    <x v="0"/>
    <x v="23"/>
    <x v="0"/>
    <n v="4"/>
    <n v="30"/>
    <n v="120"/>
    <n v="1.7999999999999998"/>
    <n v="2.4"/>
  </r>
  <r>
    <x v="633"/>
    <n v="8"/>
    <n v="10"/>
    <n v="2023"/>
    <s v="Sunday"/>
    <s v="October"/>
    <d v="2023-10-08T00:00:00"/>
    <x v="633"/>
    <x v="0"/>
    <x v="0"/>
    <x v="43"/>
    <x v="2"/>
    <n v="4"/>
    <n v="500"/>
    <n v="2000"/>
    <n v="30"/>
    <n v="40"/>
  </r>
  <r>
    <x v="634"/>
    <n v="17"/>
    <n v="8"/>
    <n v="2023"/>
    <s v="Thursday"/>
    <s v="August"/>
    <d v="2023-08-17T00:00:00"/>
    <x v="634"/>
    <x v="1"/>
    <x v="0"/>
    <x v="7"/>
    <x v="2"/>
    <n v="3"/>
    <n v="300"/>
    <n v="900"/>
    <n v="13.5"/>
    <n v="18"/>
  </r>
  <r>
    <x v="635"/>
    <n v="23"/>
    <n v="3"/>
    <n v="2023"/>
    <s v="Thursday"/>
    <s v="March"/>
    <d v="2023-03-23T00:00:00"/>
    <x v="635"/>
    <x v="1"/>
    <x v="1"/>
    <x v="34"/>
    <x v="0"/>
    <n v="3"/>
    <n v="500"/>
    <n v="1500"/>
    <n v="22.5"/>
    <n v="30"/>
  </r>
  <r>
    <x v="636"/>
    <n v="1"/>
    <n v="9"/>
    <n v="2023"/>
    <s v="Friday"/>
    <s v="September"/>
    <d v="2023-09-01T00:00:00"/>
    <x v="636"/>
    <x v="0"/>
    <x v="0"/>
    <x v="22"/>
    <x v="1"/>
    <n v="2"/>
    <n v="300"/>
    <n v="600"/>
    <n v="9"/>
    <n v="12"/>
  </r>
  <r>
    <x v="637"/>
    <n v="19"/>
    <n v="8"/>
    <n v="2023"/>
    <s v="Saturday"/>
    <s v="August"/>
    <d v="2023-08-19T00:00:00"/>
    <x v="637"/>
    <x v="0"/>
    <x v="0"/>
    <x v="6"/>
    <x v="2"/>
    <n v="1"/>
    <n v="500"/>
    <n v="500"/>
    <n v="7.5"/>
    <n v="10"/>
  </r>
  <r>
    <x v="638"/>
    <n v="13"/>
    <n v="5"/>
    <n v="2023"/>
    <s v="Saturday"/>
    <s v="May"/>
    <d v="2023-05-13T00:00:00"/>
    <x v="638"/>
    <x v="1"/>
    <x v="0"/>
    <x v="17"/>
    <x v="0"/>
    <n v="4"/>
    <n v="50"/>
    <n v="200"/>
    <n v="3"/>
    <n v="4"/>
  </r>
  <r>
    <x v="639"/>
    <n v="7"/>
    <n v="5"/>
    <n v="2023"/>
    <s v="Sunday"/>
    <s v="May"/>
    <d v="2023-05-07T00:00:00"/>
    <x v="639"/>
    <x v="1"/>
    <x v="0"/>
    <x v="25"/>
    <x v="2"/>
    <n v="4"/>
    <n v="30"/>
    <n v="120"/>
    <n v="1.7999999999999998"/>
    <n v="2.4"/>
  </r>
  <r>
    <x v="640"/>
    <n v="23"/>
    <n v="11"/>
    <n v="2023"/>
    <s v="Thursday"/>
    <s v="November"/>
    <d v="2023-11-23T00:00:00"/>
    <x v="640"/>
    <x v="1"/>
    <x v="0"/>
    <x v="30"/>
    <x v="2"/>
    <n v="1"/>
    <n v="300"/>
    <n v="300"/>
    <n v="4.5"/>
    <n v="6"/>
  </r>
  <r>
    <x v="641"/>
    <n v="22"/>
    <n v="5"/>
    <n v="2023"/>
    <s v="Monday"/>
    <s v="May"/>
    <d v="2023-05-22T00:00:00"/>
    <x v="641"/>
    <x v="1"/>
    <x v="0"/>
    <x v="31"/>
    <x v="1"/>
    <n v="4"/>
    <n v="25"/>
    <n v="100"/>
    <n v="1.5"/>
    <n v="2"/>
  </r>
  <r>
    <x v="642"/>
    <n v="24"/>
    <n v="9"/>
    <n v="2023"/>
    <s v="Sunday"/>
    <s v="September"/>
    <d v="2023-09-24T00:00:00"/>
    <x v="642"/>
    <x v="1"/>
    <x v="1"/>
    <x v="20"/>
    <x v="2"/>
    <n v="3"/>
    <n v="30"/>
    <n v="90"/>
    <n v="1.3499999999999999"/>
    <n v="1.8"/>
  </r>
  <r>
    <x v="643"/>
    <n v="6"/>
    <n v="9"/>
    <n v="2023"/>
    <s v="Wednesday"/>
    <s v="September"/>
    <d v="2023-09-06T00:00:00"/>
    <x v="643"/>
    <x v="0"/>
    <x v="1"/>
    <x v="9"/>
    <x v="0"/>
    <n v="3"/>
    <n v="25"/>
    <n v="75"/>
    <n v="1.125"/>
    <n v="1.5"/>
  </r>
  <r>
    <x v="644"/>
    <n v="17"/>
    <n v="11"/>
    <n v="2023"/>
    <s v="Friday"/>
    <s v="November"/>
    <d v="2023-11-17T00:00:00"/>
    <x v="644"/>
    <x v="1"/>
    <x v="0"/>
    <x v="10"/>
    <x v="2"/>
    <n v="4"/>
    <n v="30"/>
    <n v="120"/>
    <n v="1.7999999999999998"/>
    <n v="2.4"/>
  </r>
  <r>
    <x v="645"/>
    <n v="3"/>
    <n v="5"/>
    <n v="2023"/>
    <s v="Wednesday"/>
    <s v="May"/>
    <d v="2023-05-03T00:00:00"/>
    <x v="645"/>
    <x v="0"/>
    <x v="0"/>
    <x v="21"/>
    <x v="1"/>
    <n v="3"/>
    <n v="30"/>
    <n v="90"/>
    <n v="1.3499999999999999"/>
    <n v="1.8"/>
  </r>
  <r>
    <x v="646"/>
    <n v="21"/>
    <n v="5"/>
    <n v="2023"/>
    <s v="Sunday"/>
    <s v="May"/>
    <d v="2023-05-21T00:00:00"/>
    <x v="646"/>
    <x v="0"/>
    <x v="0"/>
    <x v="42"/>
    <x v="1"/>
    <n v="3"/>
    <n v="500"/>
    <n v="1500"/>
    <n v="22.5"/>
    <n v="30"/>
  </r>
  <r>
    <x v="647"/>
    <n v="14"/>
    <n v="8"/>
    <n v="2023"/>
    <s v="Monday"/>
    <s v="August"/>
    <d v="2023-08-14T00:00:00"/>
    <x v="647"/>
    <x v="0"/>
    <x v="0"/>
    <x v="45"/>
    <x v="0"/>
    <n v="4"/>
    <n v="300"/>
    <n v="1200"/>
    <n v="18"/>
    <n v="24"/>
  </r>
  <r>
    <x v="648"/>
    <n v="9"/>
    <n v="2"/>
    <n v="2023"/>
    <s v="Thursday"/>
    <s v="February"/>
    <d v="2023-02-09T00:00:00"/>
    <x v="648"/>
    <x v="1"/>
    <x v="0"/>
    <x v="26"/>
    <x v="1"/>
    <n v="2"/>
    <n v="300"/>
    <n v="600"/>
    <n v="9"/>
    <n v="12"/>
  </r>
  <r>
    <x v="649"/>
    <n v="1"/>
    <n v="1"/>
    <n v="2024"/>
    <s v="Monday"/>
    <s v="January"/>
    <d v="2024-01-01T00:00:00"/>
    <x v="649"/>
    <x v="0"/>
    <x v="0"/>
    <x v="28"/>
    <x v="2"/>
    <n v="1"/>
    <n v="30"/>
    <n v="30"/>
    <n v="0.44999999999999996"/>
    <n v="0.6"/>
  </r>
  <r>
    <x v="650"/>
    <n v="27"/>
    <n v="5"/>
    <n v="2023"/>
    <s v="Saturday"/>
    <s v="May"/>
    <d v="2023-05-27T00:00:00"/>
    <x v="650"/>
    <x v="0"/>
    <x v="0"/>
    <x v="25"/>
    <x v="1"/>
    <n v="3"/>
    <n v="50"/>
    <n v="150"/>
    <n v="2.25"/>
    <n v="3"/>
  </r>
  <r>
    <x v="651"/>
    <n v="1"/>
    <n v="5"/>
    <n v="2023"/>
    <s v="Monday"/>
    <s v="May"/>
    <d v="2023-05-01T00:00:00"/>
    <x v="651"/>
    <x v="1"/>
    <x v="0"/>
    <x v="0"/>
    <x v="0"/>
    <n v="2"/>
    <n v="50"/>
    <n v="100"/>
    <n v="1.5"/>
    <n v="2"/>
  </r>
  <r>
    <x v="652"/>
    <n v="20"/>
    <n v="5"/>
    <n v="2023"/>
    <s v="Saturday"/>
    <s v="May"/>
    <d v="2023-05-20T00:00:00"/>
    <x v="652"/>
    <x v="0"/>
    <x v="0"/>
    <x v="31"/>
    <x v="1"/>
    <n v="3"/>
    <n v="25"/>
    <n v="75"/>
    <n v="1.125"/>
    <n v="1.5"/>
  </r>
  <r>
    <x v="653"/>
    <n v="21"/>
    <n v="6"/>
    <n v="2023"/>
    <s v="Wednesday"/>
    <s v="June"/>
    <d v="2023-06-21T00:00:00"/>
    <x v="653"/>
    <x v="0"/>
    <x v="0"/>
    <x v="13"/>
    <x v="1"/>
    <n v="3"/>
    <n v="25"/>
    <n v="75"/>
    <n v="1.125"/>
    <n v="1.5"/>
  </r>
  <r>
    <x v="654"/>
    <n v="13"/>
    <n v="6"/>
    <n v="2023"/>
    <s v="Tuesday"/>
    <s v="June"/>
    <d v="2023-06-13T00:00:00"/>
    <x v="654"/>
    <x v="1"/>
    <x v="0"/>
    <x v="28"/>
    <x v="1"/>
    <n v="1"/>
    <n v="500"/>
    <n v="500"/>
    <n v="7.5"/>
    <n v="10"/>
  </r>
  <r>
    <x v="655"/>
    <n v="4"/>
    <n v="10"/>
    <n v="2023"/>
    <s v="Wednesday"/>
    <s v="October"/>
    <d v="2023-10-04T00:00:00"/>
    <x v="655"/>
    <x v="0"/>
    <x v="1"/>
    <x v="38"/>
    <x v="0"/>
    <n v="3"/>
    <n v="30"/>
    <n v="90"/>
    <n v="1.3499999999999999"/>
    <n v="1.8"/>
  </r>
  <r>
    <x v="656"/>
    <n v="11"/>
    <n v="2"/>
    <n v="2023"/>
    <s v="Saturday"/>
    <s v="February"/>
    <d v="2023-02-11T00:00:00"/>
    <x v="656"/>
    <x v="0"/>
    <x v="0"/>
    <x v="30"/>
    <x v="1"/>
    <n v="1"/>
    <n v="25"/>
    <n v="25"/>
    <n v="0.375"/>
    <n v="0.5"/>
  </r>
  <r>
    <x v="657"/>
    <n v="12"/>
    <n v="3"/>
    <n v="2023"/>
    <s v="Sunday"/>
    <s v="March"/>
    <d v="2023-03-12T00:00:00"/>
    <x v="657"/>
    <x v="0"/>
    <x v="0"/>
    <x v="42"/>
    <x v="1"/>
    <n v="1"/>
    <n v="25"/>
    <n v="25"/>
    <n v="0.375"/>
    <n v="0.5"/>
  </r>
  <r>
    <x v="658"/>
    <n v="19"/>
    <n v="3"/>
    <n v="2023"/>
    <s v="Sunday"/>
    <s v="March"/>
    <d v="2023-03-19T00:00:00"/>
    <x v="658"/>
    <x v="1"/>
    <x v="0"/>
    <x v="23"/>
    <x v="2"/>
    <n v="1"/>
    <n v="30"/>
    <n v="30"/>
    <n v="0.44999999999999996"/>
    <n v="0.6"/>
  </r>
  <r>
    <x v="659"/>
    <n v="29"/>
    <n v="4"/>
    <n v="2023"/>
    <s v="Saturday"/>
    <s v="April"/>
    <d v="2023-04-29T00:00:00"/>
    <x v="659"/>
    <x v="1"/>
    <x v="0"/>
    <x v="21"/>
    <x v="0"/>
    <n v="2"/>
    <n v="500"/>
    <n v="1000"/>
    <n v="15"/>
    <n v="20"/>
  </r>
  <r>
    <x v="660"/>
    <n v="16"/>
    <n v="7"/>
    <n v="2023"/>
    <s v="Sunday"/>
    <s v="July"/>
    <d v="2023-07-16T00:00:00"/>
    <x v="660"/>
    <x v="1"/>
    <x v="0"/>
    <x v="24"/>
    <x v="1"/>
    <n v="4"/>
    <n v="25"/>
    <n v="100"/>
    <n v="1.5"/>
    <n v="2"/>
  </r>
  <r>
    <x v="661"/>
    <n v="22"/>
    <n v="12"/>
    <n v="2023"/>
    <s v="Friday"/>
    <s v="December"/>
    <d v="2023-12-22T00:00:00"/>
    <x v="661"/>
    <x v="0"/>
    <x v="0"/>
    <x v="27"/>
    <x v="0"/>
    <n v="2"/>
    <n v="500"/>
    <n v="1000"/>
    <n v="15"/>
    <n v="20"/>
  </r>
  <r>
    <x v="662"/>
    <n v="20"/>
    <n v="3"/>
    <n v="2023"/>
    <s v="Monday"/>
    <s v="March"/>
    <d v="2023-03-20T00:00:00"/>
    <x v="662"/>
    <x v="0"/>
    <x v="1"/>
    <x v="9"/>
    <x v="1"/>
    <n v="4"/>
    <n v="300"/>
    <n v="1200"/>
    <n v="18"/>
    <n v="24"/>
  </r>
  <r>
    <x v="663"/>
    <n v="28"/>
    <n v="12"/>
    <n v="2023"/>
    <s v="Thursday"/>
    <s v="December"/>
    <d v="2023-12-28T00:00:00"/>
    <x v="663"/>
    <x v="1"/>
    <x v="0"/>
    <x v="24"/>
    <x v="1"/>
    <n v="4"/>
    <n v="500"/>
    <n v="2000"/>
    <n v="30"/>
    <n v="40"/>
  </r>
  <r>
    <x v="664"/>
    <n v="20"/>
    <n v="4"/>
    <n v="2023"/>
    <s v="Thursday"/>
    <s v="April"/>
    <d v="2023-04-20T00:00:00"/>
    <x v="664"/>
    <x v="0"/>
    <x v="0"/>
    <x v="35"/>
    <x v="1"/>
    <n v="1"/>
    <n v="50"/>
    <n v="50"/>
    <n v="0.75"/>
    <n v="1"/>
  </r>
  <r>
    <x v="665"/>
    <n v="2"/>
    <n v="2"/>
    <n v="2023"/>
    <s v="Thursday"/>
    <s v="February"/>
    <d v="2023-02-02T00:00:00"/>
    <x v="665"/>
    <x v="0"/>
    <x v="0"/>
    <x v="25"/>
    <x v="2"/>
    <n v="3"/>
    <n v="50"/>
    <n v="150"/>
    <n v="2.25"/>
    <n v="3"/>
  </r>
  <r>
    <x v="666"/>
    <n v="1"/>
    <n v="8"/>
    <n v="2023"/>
    <s v="Tuesday"/>
    <s v="August"/>
    <d v="2023-08-01T00:00:00"/>
    <x v="666"/>
    <x v="1"/>
    <x v="1"/>
    <x v="38"/>
    <x v="2"/>
    <n v="1"/>
    <n v="500"/>
    <n v="500"/>
    <n v="7.5"/>
    <n v="10"/>
  </r>
  <r>
    <x v="667"/>
    <n v="28"/>
    <n v="7"/>
    <n v="2023"/>
    <s v="Friday"/>
    <s v="July"/>
    <d v="2023-07-28T00:00:00"/>
    <x v="667"/>
    <x v="1"/>
    <x v="0"/>
    <x v="17"/>
    <x v="2"/>
    <n v="3"/>
    <n v="50"/>
    <n v="150"/>
    <n v="2.25"/>
    <n v="3"/>
  </r>
  <r>
    <x v="668"/>
    <n v="19"/>
    <n v="6"/>
    <n v="2023"/>
    <s v="Monday"/>
    <s v="June"/>
    <d v="2023-06-19T00:00:00"/>
    <x v="668"/>
    <x v="0"/>
    <x v="1"/>
    <x v="46"/>
    <x v="0"/>
    <n v="4"/>
    <n v="300"/>
    <n v="1200"/>
    <n v="18"/>
    <n v="24"/>
  </r>
  <r>
    <x v="669"/>
    <n v="5"/>
    <n v="10"/>
    <n v="2023"/>
    <s v="Thursday"/>
    <s v="October"/>
    <d v="2023-10-05T00:00:00"/>
    <x v="669"/>
    <x v="0"/>
    <x v="1"/>
    <x v="15"/>
    <x v="0"/>
    <n v="1"/>
    <n v="30"/>
    <n v="30"/>
    <n v="0.44999999999999996"/>
    <n v="0.6"/>
  </r>
  <r>
    <x v="670"/>
    <n v="27"/>
    <n v="8"/>
    <n v="2023"/>
    <s v="Sunday"/>
    <s v="August"/>
    <d v="2023-08-27T00:00:00"/>
    <x v="670"/>
    <x v="0"/>
    <x v="0"/>
    <x v="17"/>
    <x v="2"/>
    <n v="3"/>
    <n v="50"/>
    <n v="150"/>
    <n v="2.25"/>
    <n v="3"/>
  </r>
  <r>
    <x v="671"/>
    <n v="1"/>
    <n v="8"/>
    <n v="2023"/>
    <s v="Tuesday"/>
    <s v="August"/>
    <d v="2023-08-01T00:00:00"/>
    <x v="671"/>
    <x v="1"/>
    <x v="0"/>
    <x v="0"/>
    <x v="0"/>
    <n v="2"/>
    <n v="50"/>
    <n v="100"/>
    <n v="1.5"/>
    <n v="2"/>
  </r>
  <r>
    <x v="672"/>
    <n v="1"/>
    <n v="2"/>
    <n v="2023"/>
    <s v="Wednesday"/>
    <s v="February"/>
    <d v="2023-02-01T00:00:00"/>
    <x v="672"/>
    <x v="1"/>
    <x v="0"/>
    <x v="22"/>
    <x v="1"/>
    <n v="3"/>
    <n v="500"/>
    <n v="1500"/>
    <n v="22.5"/>
    <n v="30"/>
  </r>
  <r>
    <x v="673"/>
    <n v="16"/>
    <n v="4"/>
    <n v="2023"/>
    <s v="Sunday"/>
    <s v="April"/>
    <d v="2023-04-16T00:00:00"/>
    <x v="673"/>
    <x v="1"/>
    <x v="0"/>
    <x v="21"/>
    <x v="1"/>
    <n v="1"/>
    <n v="300"/>
    <n v="300"/>
    <n v="4.5"/>
    <n v="6"/>
  </r>
  <r>
    <x v="674"/>
    <n v="4"/>
    <n v="8"/>
    <n v="2023"/>
    <s v="Friday"/>
    <s v="August"/>
    <d v="2023-08-04T00:00:00"/>
    <x v="674"/>
    <x v="1"/>
    <x v="0"/>
    <x v="5"/>
    <x v="1"/>
    <n v="2"/>
    <n v="30"/>
    <n v="60"/>
    <n v="0.89999999999999991"/>
    <n v="1.2"/>
  </r>
  <r>
    <x v="675"/>
    <n v="19"/>
    <n v="7"/>
    <n v="2023"/>
    <s v="Wednesday"/>
    <s v="July"/>
    <d v="2023-07-19T00:00:00"/>
    <x v="675"/>
    <x v="0"/>
    <x v="0"/>
    <x v="7"/>
    <x v="2"/>
    <n v="3"/>
    <n v="500"/>
    <n v="1500"/>
    <n v="22.5"/>
    <n v="30"/>
  </r>
  <r>
    <x v="676"/>
    <n v="27"/>
    <n v="10"/>
    <n v="2023"/>
    <s v="Friday"/>
    <s v="October"/>
    <d v="2023-10-27T00:00:00"/>
    <x v="676"/>
    <x v="1"/>
    <x v="1"/>
    <x v="14"/>
    <x v="0"/>
    <n v="3"/>
    <n v="500"/>
    <n v="1500"/>
    <n v="22.5"/>
    <n v="30"/>
  </r>
  <r>
    <x v="677"/>
    <n v="23"/>
    <n v="12"/>
    <n v="2023"/>
    <s v="Saturday"/>
    <s v="December"/>
    <d v="2023-12-23T00:00:00"/>
    <x v="677"/>
    <x v="1"/>
    <x v="0"/>
    <x v="43"/>
    <x v="2"/>
    <n v="3"/>
    <n v="300"/>
    <n v="900"/>
    <n v="13.5"/>
    <n v="18"/>
  </r>
  <r>
    <x v="678"/>
    <n v="11"/>
    <n v="1"/>
    <n v="2023"/>
    <s v="Wednesday"/>
    <s v="January"/>
    <d v="2023-01-11T00:00:00"/>
    <x v="678"/>
    <x v="1"/>
    <x v="1"/>
    <x v="18"/>
    <x v="0"/>
    <n v="3"/>
    <n v="30"/>
    <n v="90"/>
    <n v="1.3499999999999999"/>
    <n v="1.8"/>
  </r>
  <r>
    <x v="679"/>
    <n v="22"/>
    <n v="10"/>
    <n v="2023"/>
    <s v="Sunday"/>
    <s v="October"/>
    <d v="2023-10-22T00:00:00"/>
    <x v="679"/>
    <x v="1"/>
    <x v="0"/>
    <x v="45"/>
    <x v="1"/>
    <n v="3"/>
    <n v="300"/>
    <n v="900"/>
    <n v="13.5"/>
    <n v="18"/>
  </r>
  <r>
    <x v="680"/>
    <n v="14"/>
    <n v="7"/>
    <n v="2023"/>
    <s v="Friday"/>
    <s v="July"/>
    <d v="2023-07-14T00:00:00"/>
    <x v="680"/>
    <x v="1"/>
    <x v="0"/>
    <x v="22"/>
    <x v="2"/>
    <n v="2"/>
    <n v="30"/>
    <n v="60"/>
    <n v="0.89999999999999991"/>
    <n v="1.2"/>
  </r>
  <r>
    <x v="681"/>
    <n v="2"/>
    <n v="9"/>
    <n v="2023"/>
    <s v="Saturday"/>
    <s v="September"/>
    <d v="2023-09-02T00:00:00"/>
    <x v="681"/>
    <x v="0"/>
    <x v="0"/>
    <x v="6"/>
    <x v="0"/>
    <n v="4"/>
    <n v="300"/>
    <n v="1200"/>
    <n v="18"/>
    <n v="24"/>
  </r>
  <r>
    <x v="682"/>
    <n v="4"/>
    <n v="1"/>
    <n v="2023"/>
    <s v="Wednesday"/>
    <s v="January"/>
    <d v="2023-01-04T00:00:00"/>
    <x v="682"/>
    <x v="0"/>
    <x v="0"/>
    <x v="21"/>
    <x v="0"/>
    <n v="2"/>
    <n v="500"/>
    <n v="1000"/>
    <n v="15"/>
    <n v="20"/>
  </r>
  <r>
    <x v="683"/>
    <n v="30"/>
    <n v="6"/>
    <n v="2023"/>
    <s v="Friday"/>
    <s v="June"/>
    <d v="2023-06-30T00:00:00"/>
    <x v="683"/>
    <x v="1"/>
    <x v="1"/>
    <x v="20"/>
    <x v="1"/>
    <n v="2"/>
    <n v="500"/>
    <n v="1000"/>
    <n v="15"/>
    <n v="20"/>
  </r>
  <r>
    <x v="684"/>
    <n v="2"/>
    <n v="6"/>
    <n v="2023"/>
    <s v="Friday"/>
    <s v="June"/>
    <d v="2023-06-02T00:00:00"/>
    <x v="684"/>
    <x v="0"/>
    <x v="0"/>
    <x v="35"/>
    <x v="2"/>
    <n v="2"/>
    <n v="25"/>
    <n v="50"/>
    <n v="0.75"/>
    <n v="1"/>
  </r>
  <r>
    <x v="685"/>
    <n v="19"/>
    <n v="7"/>
    <n v="2023"/>
    <s v="Wednesday"/>
    <s v="July"/>
    <d v="2023-07-19T00:00:00"/>
    <x v="685"/>
    <x v="1"/>
    <x v="1"/>
    <x v="20"/>
    <x v="2"/>
    <n v="4"/>
    <n v="50"/>
    <n v="200"/>
    <n v="3"/>
    <n v="4"/>
  </r>
  <r>
    <x v="686"/>
    <n v="3"/>
    <n v="8"/>
    <n v="2023"/>
    <s v="Thursday"/>
    <s v="August"/>
    <d v="2023-08-03T00:00:00"/>
    <x v="686"/>
    <x v="1"/>
    <x v="0"/>
    <x v="45"/>
    <x v="2"/>
    <n v="1"/>
    <n v="300"/>
    <n v="300"/>
    <n v="4.5"/>
    <n v="6"/>
  </r>
  <r>
    <x v="687"/>
    <n v="3"/>
    <n v="10"/>
    <n v="2023"/>
    <s v="Tuesday"/>
    <s v="October"/>
    <d v="2023-10-03T00:00:00"/>
    <x v="687"/>
    <x v="0"/>
    <x v="0"/>
    <x v="37"/>
    <x v="1"/>
    <n v="4"/>
    <n v="25"/>
    <n v="100"/>
    <n v="1.5"/>
    <n v="2"/>
  </r>
  <r>
    <x v="688"/>
    <n v="7"/>
    <n v="10"/>
    <n v="2023"/>
    <s v="Saturday"/>
    <s v="October"/>
    <d v="2023-10-07T00:00:00"/>
    <x v="688"/>
    <x v="0"/>
    <x v="0"/>
    <x v="35"/>
    <x v="2"/>
    <n v="2"/>
    <n v="50"/>
    <n v="100"/>
    <n v="1.5"/>
    <n v="2"/>
  </r>
  <r>
    <x v="689"/>
    <n v="5"/>
    <n v="11"/>
    <n v="2023"/>
    <s v="Sunday"/>
    <s v="November"/>
    <d v="2023-11-05T00:00:00"/>
    <x v="689"/>
    <x v="1"/>
    <x v="0"/>
    <x v="8"/>
    <x v="1"/>
    <n v="3"/>
    <n v="300"/>
    <n v="900"/>
    <n v="13.5"/>
    <n v="18"/>
  </r>
  <r>
    <x v="690"/>
    <n v="23"/>
    <n v="4"/>
    <n v="2023"/>
    <s v="Sunday"/>
    <s v="April"/>
    <d v="2023-04-23T00:00:00"/>
    <x v="690"/>
    <x v="1"/>
    <x v="0"/>
    <x v="25"/>
    <x v="1"/>
    <n v="3"/>
    <n v="30"/>
    <n v="90"/>
    <n v="1.3499999999999999"/>
    <n v="1.8"/>
  </r>
  <r>
    <x v="691"/>
    <n v="7"/>
    <n v="9"/>
    <n v="2023"/>
    <s v="Thursday"/>
    <s v="September"/>
    <d v="2023-09-07T00:00:00"/>
    <x v="691"/>
    <x v="1"/>
    <x v="0"/>
    <x v="12"/>
    <x v="1"/>
    <n v="2"/>
    <n v="50"/>
    <n v="100"/>
    <n v="1.5"/>
    <n v="2"/>
  </r>
  <r>
    <x v="692"/>
    <n v="23"/>
    <n v="4"/>
    <n v="2023"/>
    <s v="Sunday"/>
    <s v="April"/>
    <d v="2023-04-23T00:00:00"/>
    <x v="692"/>
    <x v="0"/>
    <x v="0"/>
    <x v="41"/>
    <x v="0"/>
    <n v="3"/>
    <n v="500"/>
    <n v="1500"/>
    <n v="22.5"/>
    <n v="30"/>
  </r>
  <r>
    <x v="693"/>
    <n v="20"/>
    <n v="5"/>
    <n v="2023"/>
    <s v="Saturday"/>
    <s v="May"/>
    <d v="2023-05-20T00:00:00"/>
    <x v="693"/>
    <x v="1"/>
    <x v="0"/>
    <x v="23"/>
    <x v="2"/>
    <n v="2"/>
    <n v="25"/>
    <n v="50"/>
    <n v="0.75"/>
    <n v="1"/>
  </r>
  <r>
    <x v="694"/>
    <n v="12"/>
    <n v="8"/>
    <n v="2023"/>
    <s v="Saturday"/>
    <s v="August"/>
    <d v="2023-08-12T00:00:00"/>
    <x v="694"/>
    <x v="1"/>
    <x v="1"/>
    <x v="11"/>
    <x v="2"/>
    <n v="3"/>
    <n v="50"/>
    <n v="150"/>
    <n v="2.25"/>
    <n v="3"/>
  </r>
  <r>
    <x v="695"/>
    <n v="6"/>
    <n v="9"/>
    <n v="2023"/>
    <s v="Wednesday"/>
    <s v="September"/>
    <d v="2023-09-06T00:00:00"/>
    <x v="695"/>
    <x v="1"/>
    <x v="0"/>
    <x v="2"/>
    <x v="1"/>
    <n v="4"/>
    <n v="50"/>
    <n v="200"/>
    <n v="3"/>
    <n v="4"/>
  </r>
  <r>
    <x v="696"/>
    <n v="15"/>
    <n v="1"/>
    <n v="2023"/>
    <s v="Sunday"/>
    <s v="January"/>
    <d v="2023-01-15T00:00:00"/>
    <x v="696"/>
    <x v="0"/>
    <x v="0"/>
    <x v="45"/>
    <x v="1"/>
    <n v="1"/>
    <n v="500"/>
    <n v="500"/>
    <n v="7.5"/>
    <n v="10"/>
  </r>
  <r>
    <x v="697"/>
    <n v="19"/>
    <n v="7"/>
    <n v="2023"/>
    <s v="Wednesday"/>
    <s v="July"/>
    <d v="2023-07-19T00:00:00"/>
    <x v="697"/>
    <x v="1"/>
    <x v="0"/>
    <x v="12"/>
    <x v="2"/>
    <n v="1"/>
    <n v="300"/>
    <n v="300"/>
    <n v="4.5"/>
    <n v="6"/>
  </r>
  <r>
    <x v="698"/>
    <n v="22"/>
    <n v="6"/>
    <n v="2023"/>
    <s v="Thursday"/>
    <s v="June"/>
    <d v="2023-06-22T00:00:00"/>
    <x v="698"/>
    <x v="1"/>
    <x v="0"/>
    <x v="3"/>
    <x v="1"/>
    <n v="4"/>
    <n v="30"/>
    <n v="120"/>
    <n v="1.7999999999999998"/>
    <n v="2.4"/>
  </r>
  <r>
    <x v="699"/>
    <n v="9"/>
    <n v="12"/>
    <n v="2023"/>
    <s v="Saturday"/>
    <s v="December"/>
    <d v="2023-12-09T00:00:00"/>
    <x v="699"/>
    <x v="0"/>
    <x v="0"/>
    <x v="32"/>
    <x v="2"/>
    <n v="4"/>
    <n v="500"/>
    <n v="2000"/>
    <n v="30"/>
    <n v="40"/>
  </r>
  <r>
    <x v="700"/>
    <n v="14"/>
    <n v="12"/>
    <n v="2023"/>
    <s v="Thursday"/>
    <s v="December"/>
    <d v="2023-12-14T00:00:00"/>
    <x v="700"/>
    <x v="1"/>
    <x v="0"/>
    <x v="8"/>
    <x v="0"/>
    <n v="2"/>
    <n v="30"/>
    <n v="60"/>
    <n v="0.89999999999999991"/>
    <n v="1.2"/>
  </r>
  <r>
    <x v="701"/>
    <n v="27"/>
    <n v="7"/>
    <n v="2023"/>
    <s v="Thursday"/>
    <s v="July"/>
    <d v="2023-07-27T00:00:00"/>
    <x v="701"/>
    <x v="1"/>
    <x v="0"/>
    <x v="43"/>
    <x v="1"/>
    <n v="2"/>
    <n v="300"/>
    <n v="600"/>
    <n v="9"/>
    <n v="12"/>
  </r>
  <r>
    <x v="702"/>
    <n v="26"/>
    <n v="3"/>
    <n v="2023"/>
    <s v="Sunday"/>
    <s v="March"/>
    <d v="2023-03-26T00:00:00"/>
    <x v="702"/>
    <x v="0"/>
    <x v="0"/>
    <x v="0"/>
    <x v="2"/>
    <n v="2"/>
    <n v="50"/>
    <n v="100"/>
    <n v="1.5"/>
    <n v="2"/>
  </r>
  <r>
    <x v="703"/>
    <n v="28"/>
    <n v="8"/>
    <n v="2023"/>
    <s v="Monday"/>
    <s v="August"/>
    <d v="2023-08-28T00:00:00"/>
    <x v="703"/>
    <x v="1"/>
    <x v="0"/>
    <x v="17"/>
    <x v="1"/>
    <n v="3"/>
    <n v="30"/>
    <n v="90"/>
    <n v="1.3499999999999999"/>
    <n v="1.8"/>
  </r>
  <r>
    <x v="704"/>
    <n v="7"/>
    <n v="3"/>
    <n v="2023"/>
    <s v="Tuesday"/>
    <s v="March"/>
    <d v="2023-03-07T00:00:00"/>
    <x v="704"/>
    <x v="0"/>
    <x v="0"/>
    <x v="43"/>
    <x v="2"/>
    <n v="2"/>
    <n v="25"/>
    <n v="50"/>
    <n v="0.75"/>
    <n v="1"/>
  </r>
  <r>
    <x v="705"/>
    <n v="15"/>
    <n v="11"/>
    <n v="2023"/>
    <s v="Wednesday"/>
    <s v="November"/>
    <d v="2023-11-15T00:00:00"/>
    <x v="705"/>
    <x v="0"/>
    <x v="0"/>
    <x v="25"/>
    <x v="2"/>
    <n v="4"/>
    <n v="25"/>
    <n v="100"/>
    <n v="1.5"/>
    <n v="2"/>
  </r>
  <r>
    <x v="706"/>
    <n v="1"/>
    <n v="10"/>
    <n v="2023"/>
    <s v="Sunday"/>
    <s v="October"/>
    <d v="2023-10-01T00:00:00"/>
    <x v="706"/>
    <x v="1"/>
    <x v="1"/>
    <x v="1"/>
    <x v="1"/>
    <n v="1"/>
    <n v="500"/>
    <n v="500"/>
    <n v="7.5"/>
    <n v="10"/>
  </r>
  <r>
    <x v="707"/>
    <n v="14"/>
    <n v="1"/>
    <n v="2023"/>
    <s v="Saturday"/>
    <s v="January"/>
    <d v="2023-01-14T00:00:00"/>
    <x v="707"/>
    <x v="1"/>
    <x v="0"/>
    <x v="22"/>
    <x v="0"/>
    <n v="3"/>
    <n v="300"/>
    <n v="900"/>
    <n v="13.5"/>
    <n v="18"/>
  </r>
  <r>
    <x v="708"/>
    <n v="21"/>
    <n v="7"/>
    <n v="2023"/>
    <s v="Friday"/>
    <s v="July"/>
    <d v="2023-07-21T00:00:00"/>
    <x v="708"/>
    <x v="1"/>
    <x v="1"/>
    <x v="14"/>
    <x v="2"/>
    <n v="2"/>
    <n v="500"/>
    <n v="1000"/>
    <n v="15"/>
    <n v="20"/>
  </r>
  <r>
    <x v="709"/>
    <n v="31"/>
    <n v="10"/>
    <n v="2023"/>
    <s v="Tuesday"/>
    <s v="October"/>
    <d v="2023-10-31T00:00:00"/>
    <x v="709"/>
    <x v="1"/>
    <x v="1"/>
    <x v="1"/>
    <x v="2"/>
    <n v="3"/>
    <n v="500"/>
    <n v="1500"/>
    <n v="22.5"/>
    <n v="30"/>
  </r>
  <r>
    <x v="710"/>
    <n v="16"/>
    <n v="10"/>
    <n v="2023"/>
    <s v="Monday"/>
    <s v="October"/>
    <d v="2023-10-16T00:00:00"/>
    <x v="710"/>
    <x v="0"/>
    <x v="1"/>
    <x v="1"/>
    <x v="2"/>
    <n v="3"/>
    <n v="500"/>
    <n v="1500"/>
    <n v="22.5"/>
    <n v="30"/>
  </r>
  <r>
    <x v="711"/>
    <n v="6"/>
    <n v="12"/>
    <n v="2023"/>
    <s v="Wednesday"/>
    <s v="December"/>
    <d v="2023-12-06T00:00:00"/>
    <x v="711"/>
    <x v="1"/>
    <x v="0"/>
    <x v="35"/>
    <x v="0"/>
    <n v="2"/>
    <n v="25"/>
    <n v="50"/>
    <n v="0.75"/>
    <n v="1"/>
  </r>
  <r>
    <x v="712"/>
    <n v="14"/>
    <n v="1"/>
    <n v="2023"/>
    <s v="Saturday"/>
    <s v="January"/>
    <d v="2023-01-14T00:00:00"/>
    <x v="712"/>
    <x v="0"/>
    <x v="0"/>
    <x v="0"/>
    <x v="0"/>
    <n v="3"/>
    <n v="25"/>
    <n v="75"/>
    <n v="1.125"/>
    <n v="1.5"/>
  </r>
  <r>
    <x v="713"/>
    <n v="12"/>
    <n v="2"/>
    <n v="2023"/>
    <s v="Sunday"/>
    <s v="February"/>
    <d v="2023-02-12T00:00:00"/>
    <x v="713"/>
    <x v="1"/>
    <x v="1"/>
    <x v="18"/>
    <x v="1"/>
    <n v="1"/>
    <n v="500"/>
    <n v="500"/>
    <n v="7.5"/>
    <n v="10"/>
  </r>
  <r>
    <x v="714"/>
    <n v="26"/>
    <n v="11"/>
    <n v="2023"/>
    <s v="Sunday"/>
    <s v="November"/>
    <d v="2023-11-26T00:00:00"/>
    <x v="714"/>
    <x v="1"/>
    <x v="0"/>
    <x v="13"/>
    <x v="0"/>
    <n v="4"/>
    <n v="25"/>
    <n v="100"/>
    <n v="1.5"/>
    <n v="2"/>
  </r>
  <r>
    <x v="715"/>
    <n v="8"/>
    <n v="8"/>
    <n v="2023"/>
    <s v="Tuesday"/>
    <s v="August"/>
    <d v="2023-08-08T00:00:00"/>
    <x v="715"/>
    <x v="1"/>
    <x v="0"/>
    <x v="43"/>
    <x v="1"/>
    <n v="4"/>
    <n v="300"/>
    <n v="1200"/>
    <n v="18"/>
    <n v="24"/>
  </r>
  <r>
    <x v="716"/>
    <n v="11"/>
    <n v="3"/>
    <n v="2023"/>
    <s v="Saturday"/>
    <s v="March"/>
    <d v="2023-03-11T00:00:00"/>
    <x v="716"/>
    <x v="0"/>
    <x v="0"/>
    <x v="35"/>
    <x v="1"/>
    <n v="1"/>
    <n v="500"/>
    <n v="500"/>
    <n v="7.5"/>
    <n v="10"/>
  </r>
  <r>
    <x v="717"/>
    <n v="25"/>
    <n v="8"/>
    <n v="2023"/>
    <s v="Friday"/>
    <s v="August"/>
    <d v="2023-08-25T00:00:00"/>
    <x v="717"/>
    <x v="1"/>
    <x v="0"/>
    <x v="42"/>
    <x v="0"/>
    <n v="3"/>
    <n v="25"/>
    <n v="75"/>
    <n v="1.125"/>
    <n v="1.5"/>
  </r>
  <r>
    <x v="718"/>
    <n v="4"/>
    <n v="4"/>
    <n v="2023"/>
    <s v="Tuesday"/>
    <s v="April"/>
    <d v="2023-04-04T00:00:00"/>
    <x v="718"/>
    <x v="1"/>
    <x v="0"/>
    <x v="13"/>
    <x v="1"/>
    <n v="2"/>
    <n v="30"/>
    <n v="60"/>
    <n v="0.89999999999999991"/>
    <n v="1.2"/>
  </r>
  <r>
    <x v="719"/>
    <n v="26"/>
    <n v="1"/>
    <n v="2023"/>
    <s v="Thursday"/>
    <s v="January"/>
    <d v="2023-01-26T00:00:00"/>
    <x v="719"/>
    <x v="1"/>
    <x v="0"/>
    <x v="37"/>
    <x v="0"/>
    <n v="3"/>
    <n v="500"/>
    <n v="1500"/>
    <n v="22.5"/>
    <n v="30"/>
  </r>
  <r>
    <x v="720"/>
    <n v="14"/>
    <n v="5"/>
    <n v="2023"/>
    <s v="Sunday"/>
    <s v="May"/>
    <d v="2023-05-14T00:00:00"/>
    <x v="720"/>
    <x v="1"/>
    <x v="0"/>
    <x v="8"/>
    <x v="1"/>
    <n v="1"/>
    <n v="500"/>
    <n v="500"/>
    <n v="7.5"/>
    <n v="10"/>
  </r>
  <r>
    <x v="721"/>
    <n v="14"/>
    <n v="7"/>
    <n v="2023"/>
    <s v="Friday"/>
    <s v="July"/>
    <d v="2023-07-14T00:00:00"/>
    <x v="721"/>
    <x v="0"/>
    <x v="1"/>
    <x v="29"/>
    <x v="0"/>
    <n v="3"/>
    <n v="300"/>
    <n v="900"/>
    <n v="13.5"/>
    <n v="18"/>
  </r>
  <r>
    <x v="722"/>
    <n v="17"/>
    <n v="6"/>
    <n v="2023"/>
    <s v="Saturday"/>
    <s v="June"/>
    <d v="2023-06-17T00:00:00"/>
    <x v="722"/>
    <x v="1"/>
    <x v="0"/>
    <x v="31"/>
    <x v="0"/>
    <n v="4"/>
    <n v="50"/>
    <n v="200"/>
    <n v="3"/>
    <n v="4"/>
  </r>
  <r>
    <x v="723"/>
    <n v="19"/>
    <n v="4"/>
    <n v="2023"/>
    <s v="Wednesday"/>
    <s v="April"/>
    <d v="2023-04-19T00:00:00"/>
    <x v="723"/>
    <x v="0"/>
    <x v="0"/>
    <x v="39"/>
    <x v="1"/>
    <n v="3"/>
    <n v="50"/>
    <n v="150"/>
    <n v="2.25"/>
    <n v="3"/>
  </r>
  <r>
    <x v="724"/>
    <n v="21"/>
    <n v="8"/>
    <n v="2023"/>
    <s v="Monday"/>
    <s v="August"/>
    <d v="2023-08-21T00:00:00"/>
    <x v="724"/>
    <x v="0"/>
    <x v="0"/>
    <x v="39"/>
    <x v="2"/>
    <n v="1"/>
    <n v="300"/>
    <n v="300"/>
    <n v="4.5"/>
    <n v="6"/>
  </r>
  <r>
    <x v="725"/>
    <n v="17"/>
    <n v="6"/>
    <n v="2023"/>
    <s v="Saturday"/>
    <s v="June"/>
    <d v="2023-06-17T00:00:00"/>
    <x v="725"/>
    <x v="0"/>
    <x v="0"/>
    <x v="16"/>
    <x v="1"/>
    <n v="4"/>
    <n v="300"/>
    <n v="1200"/>
    <n v="18"/>
    <n v="24"/>
  </r>
  <r>
    <x v="726"/>
    <n v="22"/>
    <n v="6"/>
    <n v="2023"/>
    <s v="Thursday"/>
    <s v="June"/>
    <d v="2023-06-22T00:00:00"/>
    <x v="726"/>
    <x v="0"/>
    <x v="0"/>
    <x v="28"/>
    <x v="0"/>
    <n v="3"/>
    <n v="300"/>
    <n v="900"/>
    <n v="13.5"/>
    <n v="18"/>
  </r>
  <r>
    <x v="727"/>
    <n v="14"/>
    <n v="7"/>
    <n v="2023"/>
    <s v="Friday"/>
    <s v="July"/>
    <d v="2023-07-14T00:00:00"/>
    <x v="727"/>
    <x v="0"/>
    <x v="0"/>
    <x v="25"/>
    <x v="2"/>
    <n v="3"/>
    <n v="50"/>
    <n v="150"/>
    <n v="2.25"/>
    <n v="3"/>
  </r>
  <r>
    <x v="728"/>
    <n v="23"/>
    <n v="5"/>
    <n v="2023"/>
    <s v="Tuesday"/>
    <s v="May"/>
    <d v="2023-05-23T00:00:00"/>
    <x v="728"/>
    <x v="0"/>
    <x v="1"/>
    <x v="38"/>
    <x v="1"/>
    <n v="4"/>
    <n v="300"/>
    <n v="1200"/>
    <n v="18"/>
    <n v="24"/>
  </r>
  <r>
    <x v="729"/>
    <n v="4"/>
    <n v="8"/>
    <n v="2023"/>
    <s v="Friday"/>
    <s v="August"/>
    <d v="2023-08-04T00:00:00"/>
    <x v="729"/>
    <x v="1"/>
    <x v="0"/>
    <x v="32"/>
    <x v="1"/>
    <n v="2"/>
    <n v="25"/>
    <n v="50"/>
    <n v="0.75"/>
    <n v="1"/>
  </r>
  <r>
    <x v="730"/>
    <n v="10"/>
    <n v="5"/>
    <n v="2023"/>
    <s v="Wednesday"/>
    <s v="May"/>
    <d v="2023-05-10T00:00:00"/>
    <x v="730"/>
    <x v="0"/>
    <x v="0"/>
    <x v="31"/>
    <x v="1"/>
    <n v="4"/>
    <n v="500"/>
    <n v="2000"/>
    <n v="30"/>
    <n v="40"/>
  </r>
  <r>
    <x v="731"/>
    <n v="11"/>
    <n v="2"/>
    <n v="2023"/>
    <s v="Saturday"/>
    <s v="February"/>
    <d v="2023-02-11T00:00:00"/>
    <x v="731"/>
    <x v="0"/>
    <x v="0"/>
    <x v="39"/>
    <x v="2"/>
    <n v="2"/>
    <n v="500"/>
    <n v="1000"/>
    <n v="15"/>
    <n v="20"/>
  </r>
  <r>
    <x v="732"/>
    <n v="29"/>
    <n v="8"/>
    <n v="2023"/>
    <s v="Tuesday"/>
    <s v="August"/>
    <d v="2023-08-29T00:00:00"/>
    <x v="732"/>
    <x v="0"/>
    <x v="0"/>
    <x v="0"/>
    <x v="0"/>
    <n v="1"/>
    <n v="30"/>
    <n v="30"/>
    <n v="0.44999999999999996"/>
    <n v="0.6"/>
  </r>
  <r>
    <x v="733"/>
    <n v="10"/>
    <n v="1"/>
    <n v="2023"/>
    <s v="Tuesday"/>
    <s v="January"/>
    <d v="2023-01-10T00:00:00"/>
    <x v="733"/>
    <x v="1"/>
    <x v="1"/>
    <x v="15"/>
    <x v="1"/>
    <n v="1"/>
    <n v="30"/>
    <n v="30"/>
    <n v="0.44999999999999996"/>
    <n v="0.6"/>
  </r>
  <r>
    <x v="734"/>
    <n v="4"/>
    <n v="10"/>
    <n v="2023"/>
    <s v="Wednesday"/>
    <s v="October"/>
    <d v="2023-10-04T00:00:00"/>
    <x v="734"/>
    <x v="1"/>
    <x v="0"/>
    <x v="12"/>
    <x v="1"/>
    <n v="4"/>
    <n v="500"/>
    <n v="2000"/>
    <n v="30"/>
    <n v="40"/>
  </r>
  <r>
    <x v="735"/>
    <n v="27"/>
    <n v="1"/>
    <n v="2023"/>
    <s v="Friday"/>
    <s v="January"/>
    <d v="2023-01-27T00:00:00"/>
    <x v="735"/>
    <x v="0"/>
    <x v="1"/>
    <x v="38"/>
    <x v="1"/>
    <n v="4"/>
    <n v="25"/>
    <n v="100"/>
    <n v="1.5"/>
    <n v="2"/>
  </r>
  <r>
    <x v="736"/>
    <n v="29"/>
    <n v="6"/>
    <n v="2023"/>
    <s v="Thursday"/>
    <s v="June"/>
    <d v="2023-06-29T00:00:00"/>
    <x v="736"/>
    <x v="1"/>
    <x v="0"/>
    <x v="44"/>
    <x v="1"/>
    <n v="1"/>
    <n v="50"/>
    <n v="50"/>
    <n v="0.75"/>
    <n v="1"/>
  </r>
  <r>
    <x v="737"/>
    <n v="25"/>
    <n v="4"/>
    <n v="2023"/>
    <s v="Tuesday"/>
    <s v="April"/>
    <d v="2023-04-25T00:00:00"/>
    <x v="737"/>
    <x v="0"/>
    <x v="0"/>
    <x v="41"/>
    <x v="1"/>
    <n v="2"/>
    <n v="50"/>
    <n v="100"/>
    <n v="1.5"/>
    <n v="2"/>
  </r>
  <r>
    <x v="738"/>
    <n v="29"/>
    <n v="11"/>
    <n v="2023"/>
    <s v="Wednesday"/>
    <s v="November"/>
    <d v="2023-11-29T00:00:00"/>
    <x v="738"/>
    <x v="0"/>
    <x v="0"/>
    <x v="32"/>
    <x v="0"/>
    <n v="1"/>
    <n v="25"/>
    <n v="25"/>
    <n v="0.375"/>
    <n v="0.5"/>
  </r>
  <r>
    <x v="739"/>
    <n v="5"/>
    <n v="2"/>
    <n v="2023"/>
    <s v="Sunday"/>
    <s v="February"/>
    <d v="2023-02-05T00:00:00"/>
    <x v="739"/>
    <x v="1"/>
    <x v="1"/>
    <x v="36"/>
    <x v="0"/>
    <n v="4"/>
    <n v="50"/>
    <n v="200"/>
    <n v="3"/>
    <n v="4"/>
  </r>
  <r>
    <x v="740"/>
    <n v="30"/>
    <n v="11"/>
    <n v="2023"/>
    <s v="Thursday"/>
    <s v="November"/>
    <d v="2023-11-30T00:00:00"/>
    <x v="740"/>
    <x v="0"/>
    <x v="0"/>
    <x v="27"/>
    <x v="1"/>
    <n v="1"/>
    <n v="300"/>
    <n v="300"/>
    <n v="4.5"/>
    <n v="6"/>
  </r>
  <r>
    <x v="741"/>
    <n v="21"/>
    <n v="1"/>
    <n v="2023"/>
    <s v="Saturday"/>
    <s v="January"/>
    <d v="2023-01-21T00:00:00"/>
    <x v="741"/>
    <x v="1"/>
    <x v="0"/>
    <x v="21"/>
    <x v="2"/>
    <n v="4"/>
    <n v="500"/>
    <n v="2000"/>
    <n v="30"/>
    <n v="40"/>
  </r>
  <r>
    <x v="742"/>
    <n v="16"/>
    <n v="1"/>
    <n v="2023"/>
    <s v="Monday"/>
    <s v="January"/>
    <d v="2023-01-16T00:00:00"/>
    <x v="742"/>
    <x v="1"/>
    <x v="0"/>
    <x v="0"/>
    <x v="0"/>
    <n v="4"/>
    <n v="500"/>
    <n v="2000"/>
    <n v="30"/>
    <n v="40"/>
  </r>
  <r>
    <x v="743"/>
    <n v="7"/>
    <n v="5"/>
    <n v="2023"/>
    <s v="Sunday"/>
    <s v="May"/>
    <d v="2023-05-07T00:00:00"/>
    <x v="743"/>
    <x v="0"/>
    <x v="0"/>
    <x v="30"/>
    <x v="2"/>
    <n v="1"/>
    <n v="25"/>
    <n v="25"/>
    <n v="0.375"/>
    <n v="0.5"/>
  </r>
  <r>
    <x v="744"/>
    <n v="13"/>
    <n v="4"/>
    <n v="2023"/>
    <s v="Thursday"/>
    <s v="April"/>
    <d v="2023-04-13T00:00:00"/>
    <x v="744"/>
    <x v="0"/>
    <x v="0"/>
    <x v="31"/>
    <x v="0"/>
    <n v="2"/>
    <n v="50"/>
    <n v="100"/>
    <n v="1.5"/>
    <n v="2"/>
  </r>
  <r>
    <x v="745"/>
    <n v="11"/>
    <n v="1"/>
    <n v="2023"/>
    <s v="Wednesday"/>
    <s v="January"/>
    <d v="2023-01-11T00:00:00"/>
    <x v="745"/>
    <x v="1"/>
    <x v="0"/>
    <x v="44"/>
    <x v="1"/>
    <n v="3"/>
    <n v="30"/>
    <n v="90"/>
    <n v="1.3499999999999999"/>
    <n v="1.8"/>
  </r>
  <r>
    <x v="746"/>
    <n v="15"/>
    <n v="11"/>
    <n v="2023"/>
    <s v="Wednesday"/>
    <s v="November"/>
    <d v="2023-11-15T00:00:00"/>
    <x v="746"/>
    <x v="0"/>
    <x v="1"/>
    <x v="9"/>
    <x v="0"/>
    <n v="1"/>
    <n v="30"/>
    <n v="30"/>
    <n v="0.44999999999999996"/>
    <n v="0.6"/>
  </r>
  <r>
    <x v="747"/>
    <n v="20"/>
    <n v="3"/>
    <n v="2023"/>
    <s v="Monday"/>
    <s v="March"/>
    <d v="2023-03-20T00:00:00"/>
    <x v="747"/>
    <x v="0"/>
    <x v="1"/>
    <x v="36"/>
    <x v="1"/>
    <n v="3"/>
    <n v="50"/>
    <n v="150"/>
    <n v="2.25"/>
    <n v="3"/>
  </r>
  <r>
    <x v="748"/>
    <n v="3"/>
    <n v="5"/>
    <n v="2023"/>
    <s v="Wednesday"/>
    <s v="May"/>
    <d v="2023-05-03T00:00:00"/>
    <x v="748"/>
    <x v="0"/>
    <x v="0"/>
    <x v="13"/>
    <x v="0"/>
    <n v="1"/>
    <n v="30"/>
    <n v="30"/>
    <n v="0.44999999999999996"/>
    <n v="0.6"/>
  </r>
  <r>
    <x v="749"/>
    <n v="6"/>
    <n v="3"/>
    <n v="2023"/>
    <s v="Monday"/>
    <s v="March"/>
    <d v="2023-03-06T00:00:00"/>
    <x v="749"/>
    <x v="1"/>
    <x v="0"/>
    <x v="10"/>
    <x v="1"/>
    <n v="3"/>
    <n v="25"/>
    <n v="75"/>
    <n v="1.125"/>
    <n v="1.5"/>
  </r>
  <r>
    <x v="750"/>
    <n v="31"/>
    <n v="8"/>
    <n v="2023"/>
    <s v="Thursday"/>
    <s v="August"/>
    <d v="2023-08-31T00:00:00"/>
    <x v="750"/>
    <x v="1"/>
    <x v="0"/>
    <x v="13"/>
    <x v="1"/>
    <n v="2"/>
    <n v="25"/>
    <n v="50"/>
    <n v="0.75"/>
    <n v="1"/>
  </r>
  <r>
    <x v="751"/>
    <n v="9"/>
    <n v="12"/>
    <n v="2023"/>
    <s v="Saturday"/>
    <s v="December"/>
    <d v="2023-12-09T00:00:00"/>
    <x v="751"/>
    <x v="0"/>
    <x v="1"/>
    <x v="38"/>
    <x v="1"/>
    <n v="2"/>
    <n v="50"/>
    <n v="100"/>
    <n v="1.5"/>
    <n v="2"/>
  </r>
  <r>
    <x v="752"/>
    <n v="28"/>
    <n v="2"/>
    <n v="2023"/>
    <s v="Tuesday"/>
    <s v="February"/>
    <d v="2023-02-28T00:00:00"/>
    <x v="752"/>
    <x v="1"/>
    <x v="0"/>
    <x v="40"/>
    <x v="1"/>
    <n v="1"/>
    <n v="30"/>
    <n v="30"/>
    <n v="0.44999999999999996"/>
    <n v="0.6"/>
  </r>
  <r>
    <x v="753"/>
    <n v="16"/>
    <n v="10"/>
    <n v="2023"/>
    <s v="Monday"/>
    <s v="October"/>
    <d v="2023-10-16T00:00:00"/>
    <x v="753"/>
    <x v="1"/>
    <x v="0"/>
    <x v="22"/>
    <x v="2"/>
    <n v="4"/>
    <n v="25"/>
    <n v="100"/>
    <n v="1.5"/>
    <n v="2"/>
  </r>
  <r>
    <x v="754"/>
    <n v="22"/>
    <n v="4"/>
    <n v="2023"/>
    <s v="Saturday"/>
    <s v="April"/>
    <d v="2023-04-22T00:00:00"/>
    <x v="754"/>
    <x v="1"/>
    <x v="0"/>
    <x v="26"/>
    <x v="1"/>
    <n v="3"/>
    <n v="25"/>
    <n v="75"/>
    <n v="1.125"/>
    <n v="1.5"/>
  </r>
  <r>
    <x v="755"/>
    <n v="27"/>
    <n v="8"/>
    <n v="2023"/>
    <s v="Sunday"/>
    <s v="August"/>
    <d v="2023-08-27T00:00:00"/>
    <x v="755"/>
    <x v="1"/>
    <x v="0"/>
    <x v="17"/>
    <x v="2"/>
    <n v="4"/>
    <n v="300"/>
    <n v="1200"/>
    <n v="18"/>
    <n v="24"/>
  </r>
  <r>
    <x v="756"/>
    <n v="25"/>
    <n v="12"/>
    <n v="2023"/>
    <s v="Monday"/>
    <s v="December"/>
    <d v="2023-12-25T00:00:00"/>
    <x v="756"/>
    <x v="1"/>
    <x v="0"/>
    <x v="22"/>
    <x v="2"/>
    <n v="4"/>
    <n v="300"/>
    <n v="1200"/>
    <n v="18"/>
    <n v="24"/>
  </r>
  <r>
    <x v="757"/>
    <n v="12"/>
    <n v="5"/>
    <n v="2023"/>
    <s v="Friday"/>
    <s v="May"/>
    <d v="2023-05-12T00:00:00"/>
    <x v="757"/>
    <x v="0"/>
    <x v="0"/>
    <x v="12"/>
    <x v="1"/>
    <n v="4"/>
    <n v="25"/>
    <n v="100"/>
    <n v="1.5"/>
    <n v="2"/>
  </r>
  <r>
    <x v="758"/>
    <n v="8"/>
    <n v="7"/>
    <n v="2023"/>
    <s v="Saturday"/>
    <s v="July"/>
    <d v="2023-07-08T00:00:00"/>
    <x v="758"/>
    <x v="0"/>
    <x v="0"/>
    <x v="19"/>
    <x v="2"/>
    <n v="2"/>
    <n v="50"/>
    <n v="100"/>
    <n v="1.5"/>
    <n v="2"/>
  </r>
  <r>
    <x v="759"/>
    <n v="27"/>
    <n v="3"/>
    <n v="2023"/>
    <s v="Monday"/>
    <s v="March"/>
    <d v="2023-03-27T00:00:00"/>
    <x v="759"/>
    <x v="0"/>
    <x v="1"/>
    <x v="15"/>
    <x v="0"/>
    <n v="1"/>
    <n v="500"/>
    <n v="500"/>
    <n v="7.5"/>
    <n v="10"/>
  </r>
  <r>
    <x v="760"/>
    <n v="7"/>
    <n v="11"/>
    <n v="2023"/>
    <s v="Tuesday"/>
    <s v="November"/>
    <d v="2023-11-07T00:00:00"/>
    <x v="760"/>
    <x v="1"/>
    <x v="0"/>
    <x v="44"/>
    <x v="1"/>
    <n v="1"/>
    <n v="500"/>
    <n v="500"/>
    <n v="7.5"/>
    <n v="10"/>
  </r>
  <r>
    <x v="761"/>
    <n v="7"/>
    <n v="11"/>
    <n v="2023"/>
    <s v="Tuesday"/>
    <s v="November"/>
    <d v="2023-11-07T00:00:00"/>
    <x v="761"/>
    <x v="1"/>
    <x v="1"/>
    <x v="46"/>
    <x v="2"/>
    <n v="2"/>
    <n v="25"/>
    <n v="50"/>
    <n v="0.75"/>
    <n v="1"/>
  </r>
  <r>
    <x v="762"/>
    <n v="28"/>
    <n v="2"/>
    <n v="2023"/>
    <s v="Tuesday"/>
    <s v="February"/>
    <d v="2023-02-28T00:00:00"/>
    <x v="762"/>
    <x v="0"/>
    <x v="0"/>
    <x v="0"/>
    <x v="1"/>
    <n v="2"/>
    <n v="25"/>
    <n v="50"/>
    <n v="0.75"/>
    <n v="1"/>
  </r>
  <r>
    <x v="763"/>
    <n v="25"/>
    <n v="3"/>
    <n v="2023"/>
    <s v="Saturday"/>
    <s v="March"/>
    <d v="2023-03-25T00:00:00"/>
    <x v="763"/>
    <x v="1"/>
    <x v="0"/>
    <x v="30"/>
    <x v="1"/>
    <n v="1"/>
    <n v="25"/>
    <n v="25"/>
    <n v="0.375"/>
    <n v="0.5"/>
  </r>
  <r>
    <x v="764"/>
    <n v="9"/>
    <n v="6"/>
    <n v="2023"/>
    <s v="Friday"/>
    <s v="June"/>
    <d v="2023-06-09T00:00:00"/>
    <x v="764"/>
    <x v="0"/>
    <x v="0"/>
    <x v="22"/>
    <x v="1"/>
    <n v="4"/>
    <n v="50"/>
    <n v="200"/>
    <n v="3"/>
    <n v="4"/>
  </r>
  <r>
    <x v="765"/>
    <n v="25"/>
    <n v="2"/>
    <n v="2023"/>
    <s v="Saturday"/>
    <s v="February"/>
    <d v="2023-02-25T00:00:00"/>
    <x v="765"/>
    <x v="0"/>
    <x v="0"/>
    <x v="21"/>
    <x v="2"/>
    <n v="3"/>
    <n v="300"/>
    <n v="900"/>
    <n v="13.5"/>
    <n v="18"/>
  </r>
  <r>
    <x v="766"/>
    <n v="24"/>
    <n v="10"/>
    <n v="2023"/>
    <s v="Tuesday"/>
    <s v="October"/>
    <d v="2023-10-24T00:00:00"/>
    <x v="766"/>
    <x v="0"/>
    <x v="0"/>
    <x v="23"/>
    <x v="0"/>
    <n v="3"/>
    <n v="25"/>
    <n v="75"/>
    <n v="1.125"/>
    <n v="1.5"/>
  </r>
  <r>
    <x v="767"/>
    <n v="14"/>
    <n v="1"/>
    <n v="2023"/>
    <s v="Saturday"/>
    <s v="January"/>
    <d v="2023-01-14T00:00:00"/>
    <x v="767"/>
    <x v="1"/>
    <x v="1"/>
    <x v="46"/>
    <x v="0"/>
    <n v="3"/>
    <n v="25"/>
    <n v="75"/>
    <n v="1.125"/>
    <n v="1.5"/>
  </r>
  <r>
    <x v="768"/>
    <n v="9"/>
    <n v="6"/>
    <n v="2023"/>
    <s v="Friday"/>
    <s v="June"/>
    <d v="2023-06-09T00:00:00"/>
    <x v="768"/>
    <x v="1"/>
    <x v="0"/>
    <x v="33"/>
    <x v="2"/>
    <n v="4"/>
    <n v="30"/>
    <n v="120"/>
    <n v="1.7999999999999998"/>
    <n v="2.4"/>
  </r>
  <r>
    <x v="769"/>
    <n v="22"/>
    <n v="10"/>
    <n v="2023"/>
    <s v="Sunday"/>
    <s v="October"/>
    <d v="2023-10-22T00:00:00"/>
    <x v="769"/>
    <x v="0"/>
    <x v="0"/>
    <x v="40"/>
    <x v="1"/>
    <n v="1"/>
    <n v="50"/>
    <n v="50"/>
    <n v="0.75"/>
    <n v="1"/>
  </r>
  <r>
    <x v="770"/>
    <n v="13"/>
    <n v="12"/>
    <n v="2023"/>
    <s v="Wednesday"/>
    <s v="December"/>
    <d v="2023-12-13T00:00:00"/>
    <x v="770"/>
    <x v="0"/>
    <x v="1"/>
    <x v="46"/>
    <x v="2"/>
    <n v="2"/>
    <n v="25"/>
    <n v="50"/>
    <n v="0.75"/>
    <n v="1"/>
  </r>
  <r>
    <x v="771"/>
    <n v="12"/>
    <n v="7"/>
    <n v="2023"/>
    <s v="Wednesday"/>
    <s v="July"/>
    <d v="2023-07-12T00:00:00"/>
    <x v="771"/>
    <x v="0"/>
    <x v="1"/>
    <x v="1"/>
    <x v="2"/>
    <n v="1"/>
    <n v="30"/>
    <n v="30"/>
    <n v="0.44999999999999996"/>
    <n v="0.6"/>
  </r>
  <r>
    <x v="772"/>
    <n v="23"/>
    <n v="7"/>
    <n v="2023"/>
    <s v="Sunday"/>
    <s v="July"/>
    <d v="2023-07-23T00:00:00"/>
    <x v="772"/>
    <x v="0"/>
    <x v="1"/>
    <x v="36"/>
    <x v="2"/>
    <n v="4"/>
    <n v="500"/>
    <n v="2000"/>
    <n v="30"/>
    <n v="40"/>
  </r>
  <r>
    <x v="773"/>
    <n v="12"/>
    <n v="4"/>
    <n v="2023"/>
    <s v="Wednesday"/>
    <s v="April"/>
    <d v="2023-04-12T00:00:00"/>
    <x v="773"/>
    <x v="1"/>
    <x v="0"/>
    <x v="30"/>
    <x v="1"/>
    <n v="2"/>
    <n v="25"/>
    <n v="50"/>
    <n v="0.75"/>
    <n v="1"/>
  </r>
  <r>
    <x v="774"/>
    <n v="8"/>
    <n v="2"/>
    <n v="2023"/>
    <s v="Wednesday"/>
    <s v="February"/>
    <d v="2023-02-08T00:00:00"/>
    <x v="774"/>
    <x v="1"/>
    <x v="0"/>
    <x v="6"/>
    <x v="2"/>
    <n v="4"/>
    <n v="25"/>
    <n v="100"/>
    <n v="1.5"/>
    <n v="2"/>
  </r>
  <r>
    <x v="775"/>
    <n v="31"/>
    <n v="10"/>
    <n v="2023"/>
    <s v="Tuesday"/>
    <s v="October"/>
    <d v="2023-10-31T00:00:00"/>
    <x v="775"/>
    <x v="0"/>
    <x v="0"/>
    <x v="10"/>
    <x v="1"/>
    <n v="3"/>
    <n v="30"/>
    <n v="90"/>
    <n v="1.3499999999999999"/>
    <n v="1.8"/>
  </r>
  <r>
    <x v="776"/>
    <n v="20"/>
    <n v="12"/>
    <n v="2023"/>
    <s v="Wednesday"/>
    <s v="December"/>
    <d v="2023-12-20T00:00:00"/>
    <x v="776"/>
    <x v="0"/>
    <x v="0"/>
    <x v="27"/>
    <x v="2"/>
    <n v="3"/>
    <n v="50"/>
    <n v="150"/>
    <n v="2.25"/>
    <n v="3"/>
  </r>
  <r>
    <x v="777"/>
    <n v="18"/>
    <n v="11"/>
    <n v="2023"/>
    <s v="Saturday"/>
    <s v="November"/>
    <d v="2023-11-18T00:00:00"/>
    <x v="777"/>
    <x v="1"/>
    <x v="0"/>
    <x v="16"/>
    <x v="0"/>
    <n v="4"/>
    <n v="25"/>
    <n v="100"/>
    <n v="1.5"/>
    <n v="2"/>
  </r>
  <r>
    <x v="778"/>
    <n v="5"/>
    <n v="5"/>
    <n v="2023"/>
    <s v="Friday"/>
    <s v="May"/>
    <d v="2023-05-05T00:00:00"/>
    <x v="778"/>
    <x v="1"/>
    <x v="0"/>
    <x v="37"/>
    <x v="2"/>
    <n v="2"/>
    <n v="500"/>
    <n v="1000"/>
    <n v="15"/>
    <n v="20"/>
  </r>
  <r>
    <x v="779"/>
    <n v="22"/>
    <n v="2"/>
    <n v="2023"/>
    <s v="Wednesday"/>
    <s v="February"/>
    <d v="2023-02-22T00:00:00"/>
    <x v="779"/>
    <x v="0"/>
    <x v="0"/>
    <x v="8"/>
    <x v="2"/>
    <n v="2"/>
    <n v="25"/>
    <n v="50"/>
    <n v="0.75"/>
    <n v="1"/>
  </r>
  <r>
    <x v="780"/>
    <n v="23"/>
    <n v="12"/>
    <n v="2023"/>
    <s v="Saturday"/>
    <s v="December"/>
    <d v="2023-12-23T00:00:00"/>
    <x v="780"/>
    <x v="0"/>
    <x v="0"/>
    <x v="10"/>
    <x v="0"/>
    <n v="1"/>
    <n v="500"/>
    <n v="500"/>
    <n v="7.5"/>
    <n v="10"/>
  </r>
  <r>
    <x v="781"/>
    <n v="4"/>
    <n v="6"/>
    <n v="2023"/>
    <s v="Sunday"/>
    <s v="June"/>
    <d v="2023-06-04T00:00:00"/>
    <x v="781"/>
    <x v="0"/>
    <x v="0"/>
    <x v="42"/>
    <x v="1"/>
    <n v="3"/>
    <n v="300"/>
    <n v="900"/>
    <n v="13.5"/>
    <n v="18"/>
  </r>
  <r>
    <x v="782"/>
    <n v="17"/>
    <n v="12"/>
    <n v="2023"/>
    <s v="Sunday"/>
    <s v="December"/>
    <d v="2023-12-17T00:00:00"/>
    <x v="782"/>
    <x v="1"/>
    <x v="0"/>
    <x v="37"/>
    <x v="1"/>
    <n v="1"/>
    <n v="300"/>
    <n v="300"/>
    <n v="4.5"/>
    <n v="6"/>
  </r>
  <r>
    <x v="783"/>
    <n v="4"/>
    <n v="11"/>
    <n v="2023"/>
    <s v="Saturday"/>
    <s v="November"/>
    <d v="2023-11-04T00:00:00"/>
    <x v="783"/>
    <x v="1"/>
    <x v="0"/>
    <x v="0"/>
    <x v="2"/>
    <n v="1"/>
    <n v="500"/>
    <n v="500"/>
    <n v="7.5"/>
    <n v="10"/>
  </r>
  <r>
    <x v="784"/>
    <n v="3"/>
    <n v="3"/>
    <n v="2023"/>
    <s v="Friday"/>
    <s v="March"/>
    <d v="2023-03-03T00:00:00"/>
    <x v="784"/>
    <x v="1"/>
    <x v="0"/>
    <x v="33"/>
    <x v="0"/>
    <n v="4"/>
    <n v="50"/>
    <n v="200"/>
    <n v="3"/>
    <n v="4"/>
  </r>
  <r>
    <x v="785"/>
    <n v="17"/>
    <n v="10"/>
    <n v="2023"/>
    <s v="Tuesday"/>
    <s v="October"/>
    <d v="2023-10-17T00:00:00"/>
    <x v="785"/>
    <x v="0"/>
    <x v="0"/>
    <x v="27"/>
    <x v="1"/>
    <n v="4"/>
    <n v="25"/>
    <n v="100"/>
    <n v="1.5"/>
    <n v="2"/>
  </r>
  <r>
    <x v="786"/>
    <n v="22"/>
    <n v="1"/>
    <n v="2023"/>
    <s v="Sunday"/>
    <s v="January"/>
    <d v="2023-01-22T00:00:00"/>
    <x v="786"/>
    <x v="0"/>
    <x v="0"/>
    <x v="41"/>
    <x v="2"/>
    <n v="1"/>
    <n v="25"/>
    <n v="25"/>
    <n v="0.375"/>
    <n v="0.5"/>
  </r>
  <r>
    <x v="787"/>
    <n v="27"/>
    <n v="6"/>
    <n v="2023"/>
    <s v="Tuesday"/>
    <s v="June"/>
    <d v="2023-06-27T00:00:00"/>
    <x v="787"/>
    <x v="1"/>
    <x v="0"/>
    <x v="8"/>
    <x v="0"/>
    <n v="3"/>
    <n v="300"/>
    <n v="900"/>
    <n v="13.5"/>
    <n v="18"/>
  </r>
  <r>
    <x v="788"/>
    <n v="30"/>
    <n v="9"/>
    <n v="2023"/>
    <s v="Saturday"/>
    <s v="September"/>
    <d v="2023-09-30T00:00:00"/>
    <x v="788"/>
    <x v="1"/>
    <x v="0"/>
    <x v="39"/>
    <x v="1"/>
    <n v="4"/>
    <n v="500"/>
    <n v="2000"/>
    <n v="30"/>
    <n v="40"/>
  </r>
  <r>
    <x v="789"/>
    <n v="8"/>
    <n v="8"/>
    <n v="2023"/>
    <s v="Tuesday"/>
    <s v="August"/>
    <d v="2023-08-08T00:00:00"/>
    <x v="789"/>
    <x v="0"/>
    <x v="0"/>
    <x v="17"/>
    <x v="1"/>
    <n v="1"/>
    <n v="25"/>
    <n v="25"/>
    <n v="0.375"/>
    <n v="0.5"/>
  </r>
  <r>
    <x v="790"/>
    <n v="5"/>
    <n v="12"/>
    <n v="2023"/>
    <s v="Tuesday"/>
    <s v="December"/>
    <d v="2023-12-05T00:00:00"/>
    <x v="790"/>
    <x v="1"/>
    <x v="0"/>
    <x v="25"/>
    <x v="0"/>
    <n v="1"/>
    <n v="25"/>
    <n v="25"/>
    <n v="0.375"/>
    <n v="0.5"/>
  </r>
  <r>
    <x v="791"/>
    <n v="9"/>
    <n v="7"/>
    <n v="2023"/>
    <s v="Sunday"/>
    <s v="July"/>
    <d v="2023-07-09T00:00:00"/>
    <x v="791"/>
    <x v="1"/>
    <x v="1"/>
    <x v="29"/>
    <x v="0"/>
    <n v="1"/>
    <n v="50"/>
    <n v="50"/>
    <n v="0.75"/>
    <n v="1"/>
  </r>
  <r>
    <x v="792"/>
    <n v="5"/>
    <n v="2"/>
    <n v="2023"/>
    <s v="Sunday"/>
    <s v="February"/>
    <d v="2023-02-05T00:00:00"/>
    <x v="792"/>
    <x v="0"/>
    <x v="0"/>
    <x v="31"/>
    <x v="0"/>
    <n v="1"/>
    <n v="30"/>
    <n v="30"/>
    <n v="0.44999999999999996"/>
    <n v="0.6"/>
  </r>
  <r>
    <x v="793"/>
    <n v="17"/>
    <n v="9"/>
    <n v="2023"/>
    <s v="Sunday"/>
    <s v="September"/>
    <d v="2023-09-17T00:00:00"/>
    <x v="793"/>
    <x v="1"/>
    <x v="0"/>
    <x v="43"/>
    <x v="0"/>
    <n v="1"/>
    <n v="300"/>
    <n v="300"/>
    <n v="4.5"/>
    <n v="6"/>
  </r>
  <r>
    <x v="794"/>
    <n v="28"/>
    <n v="11"/>
    <n v="2023"/>
    <s v="Tuesday"/>
    <s v="November"/>
    <d v="2023-11-28T00:00:00"/>
    <x v="794"/>
    <x v="0"/>
    <x v="0"/>
    <x v="35"/>
    <x v="2"/>
    <n v="1"/>
    <n v="300"/>
    <n v="300"/>
    <n v="4.5"/>
    <n v="6"/>
  </r>
  <r>
    <x v="795"/>
    <n v="24"/>
    <n v="6"/>
    <n v="2023"/>
    <s v="Saturday"/>
    <s v="June"/>
    <d v="2023-06-24T00:00:00"/>
    <x v="795"/>
    <x v="0"/>
    <x v="0"/>
    <x v="22"/>
    <x v="0"/>
    <n v="4"/>
    <n v="30"/>
    <n v="120"/>
    <n v="1.7999999999999998"/>
    <n v="2.4"/>
  </r>
  <r>
    <x v="796"/>
    <n v="7"/>
    <n v="1"/>
    <n v="2023"/>
    <s v="Saturday"/>
    <s v="January"/>
    <d v="2023-01-07T00:00:00"/>
    <x v="796"/>
    <x v="0"/>
    <x v="0"/>
    <x v="30"/>
    <x v="1"/>
    <n v="3"/>
    <n v="25"/>
    <n v="75"/>
    <n v="1.125"/>
    <n v="1.5"/>
  </r>
  <r>
    <x v="797"/>
    <n v="4"/>
    <n v="8"/>
    <n v="2023"/>
    <s v="Friday"/>
    <s v="August"/>
    <d v="2023-08-04T00:00:00"/>
    <x v="797"/>
    <x v="0"/>
    <x v="0"/>
    <x v="39"/>
    <x v="1"/>
    <n v="1"/>
    <n v="50"/>
    <n v="50"/>
    <n v="0.75"/>
    <n v="1"/>
  </r>
  <r>
    <x v="798"/>
    <n v="8"/>
    <n v="9"/>
    <n v="2023"/>
    <s v="Friday"/>
    <s v="September"/>
    <d v="2023-09-08T00:00:00"/>
    <x v="798"/>
    <x v="0"/>
    <x v="0"/>
    <x v="37"/>
    <x v="2"/>
    <n v="2"/>
    <n v="50"/>
    <n v="100"/>
    <n v="1.5"/>
    <n v="2"/>
  </r>
  <r>
    <x v="799"/>
    <n v="24"/>
    <n v="2"/>
    <n v="2023"/>
    <s v="Friday"/>
    <s v="February"/>
    <d v="2023-02-24T00:00:00"/>
    <x v="799"/>
    <x v="0"/>
    <x v="0"/>
    <x v="40"/>
    <x v="1"/>
    <n v="4"/>
    <n v="300"/>
    <n v="1200"/>
    <n v="18"/>
    <n v="24"/>
  </r>
  <r>
    <x v="800"/>
    <n v="10"/>
    <n v="8"/>
    <n v="2023"/>
    <s v="Thursday"/>
    <s v="August"/>
    <d v="2023-08-10T00:00:00"/>
    <x v="800"/>
    <x v="0"/>
    <x v="1"/>
    <x v="34"/>
    <x v="1"/>
    <n v="4"/>
    <n v="50"/>
    <n v="200"/>
    <n v="3"/>
    <n v="4"/>
  </r>
  <r>
    <x v="801"/>
    <n v="5"/>
    <n v="7"/>
    <n v="2023"/>
    <s v="Wednesday"/>
    <s v="July"/>
    <d v="2023-07-05T00:00:00"/>
    <x v="801"/>
    <x v="1"/>
    <x v="0"/>
    <x v="6"/>
    <x v="0"/>
    <n v="1"/>
    <n v="30"/>
    <n v="30"/>
    <n v="0.44999999999999996"/>
    <n v="0.6"/>
  </r>
  <r>
    <x v="802"/>
    <n v="22"/>
    <n v="11"/>
    <n v="2023"/>
    <s v="Wednesday"/>
    <s v="November"/>
    <d v="2023-11-22T00:00:00"/>
    <x v="802"/>
    <x v="0"/>
    <x v="0"/>
    <x v="23"/>
    <x v="1"/>
    <n v="4"/>
    <n v="25"/>
    <n v="100"/>
    <n v="1.5"/>
    <n v="2"/>
  </r>
  <r>
    <x v="803"/>
    <n v="24"/>
    <n v="8"/>
    <n v="2023"/>
    <s v="Thursday"/>
    <s v="August"/>
    <d v="2023-08-24T00:00:00"/>
    <x v="803"/>
    <x v="0"/>
    <x v="0"/>
    <x v="13"/>
    <x v="2"/>
    <n v="1"/>
    <n v="30"/>
    <n v="30"/>
    <n v="0.44999999999999996"/>
    <n v="0.6"/>
  </r>
  <r>
    <x v="804"/>
    <n v="29"/>
    <n v="12"/>
    <n v="2023"/>
    <s v="Friday"/>
    <s v="December"/>
    <d v="2023-12-29T00:00:00"/>
    <x v="804"/>
    <x v="1"/>
    <x v="0"/>
    <x v="4"/>
    <x v="0"/>
    <n v="3"/>
    <n v="500"/>
    <n v="1500"/>
    <n v="22.5"/>
    <n v="30"/>
  </r>
  <r>
    <x v="805"/>
    <n v="20"/>
    <n v="3"/>
    <n v="2023"/>
    <s v="Monday"/>
    <s v="March"/>
    <d v="2023-03-20T00:00:00"/>
    <x v="805"/>
    <x v="1"/>
    <x v="0"/>
    <x v="10"/>
    <x v="0"/>
    <n v="3"/>
    <n v="300"/>
    <n v="900"/>
    <n v="13.5"/>
    <n v="18"/>
  </r>
  <r>
    <x v="806"/>
    <n v="11"/>
    <n v="8"/>
    <n v="2023"/>
    <s v="Friday"/>
    <s v="August"/>
    <d v="2023-08-11T00:00:00"/>
    <x v="806"/>
    <x v="1"/>
    <x v="0"/>
    <x v="2"/>
    <x v="2"/>
    <n v="4"/>
    <n v="50"/>
    <n v="200"/>
    <n v="3"/>
    <n v="4"/>
  </r>
  <r>
    <x v="807"/>
    <n v="1"/>
    <n v="4"/>
    <n v="2023"/>
    <s v="Saturday"/>
    <s v="April"/>
    <d v="2023-04-01T00:00:00"/>
    <x v="807"/>
    <x v="0"/>
    <x v="0"/>
    <x v="44"/>
    <x v="0"/>
    <n v="4"/>
    <n v="500"/>
    <n v="2000"/>
    <n v="30"/>
    <n v="40"/>
  </r>
  <r>
    <x v="808"/>
    <n v="25"/>
    <n v="9"/>
    <n v="2023"/>
    <s v="Monday"/>
    <s v="September"/>
    <d v="2023-09-25T00:00:00"/>
    <x v="808"/>
    <x v="1"/>
    <x v="0"/>
    <x v="17"/>
    <x v="0"/>
    <n v="2"/>
    <n v="50"/>
    <n v="100"/>
    <n v="1.5"/>
    <n v="2"/>
  </r>
  <r>
    <x v="809"/>
    <n v="30"/>
    <n v="11"/>
    <n v="2023"/>
    <s v="Thursday"/>
    <s v="November"/>
    <d v="2023-11-30T00:00:00"/>
    <x v="809"/>
    <x v="0"/>
    <x v="0"/>
    <x v="42"/>
    <x v="2"/>
    <n v="4"/>
    <n v="25"/>
    <n v="100"/>
    <n v="1.5"/>
    <n v="2"/>
  </r>
  <r>
    <x v="810"/>
    <n v="19"/>
    <n v="5"/>
    <n v="2023"/>
    <s v="Friday"/>
    <s v="May"/>
    <d v="2023-05-19T00:00:00"/>
    <x v="810"/>
    <x v="0"/>
    <x v="0"/>
    <x v="39"/>
    <x v="0"/>
    <n v="2"/>
    <n v="25"/>
    <n v="50"/>
    <n v="0.75"/>
    <n v="1"/>
  </r>
  <r>
    <x v="811"/>
    <n v="12"/>
    <n v="11"/>
    <n v="2023"/>
    <s v="Sunday"/>
    <s v="November"/>
    <d v="2023-11-12T00:00:00"/>
    <x v="811"/>
    <x v="0"/>
    <x v="1"/>
    <x v="14"/>
    <x v="2"/>
    <n v="3"/>
    <n v="25"/>
    <n v="75"/>
    <n v="1.125"/>
    <n v="1.5"/>
  </r>
  <r>
    <x v="812"/>
    <n v="3"/>
    <n v="10"/>
    <n v="2023"/>
    <s v="Tuesday"/>
    <s v="October"/>
    <d v="2023-10-03T00:00:00"/>
    <x v="812"/>
    <x v="0"/>
    <x v="0"/>
    <x v="8"/>
    <x v="2"/>
    <n v="3"/>
    <n v="50"/>
    <n v="150"/>
    <n v="2.25"/>
    <n v="3"/>
  </r>
  <r>
    <x v="813"/>
    <n v="5"/>
    <n v="9"/>
    <n v="2023"/>
    <s v="Tuesday"/>
    <s v="September"/>
    <d v="2023-09-05T00:00:00"/>
    <x v="813"/>
    <x v="1"/>
    <x v="0"/>
    <x v="42"/>
    <x v="1"/>
    <n v="1"/>
    <n v="500"/>
    <n v="500"/>
    <n v="7.5"/>
    <n v="10"/>
  </r>
  <r>
    <x v="814"/>
    <n v="27"/>
    <n v="8"/>
    <n v="2023"/>
    <s v="Sunday"/>
    <s v="August"/>
    <d v="2023-08-27T00:00:00"/>
    <x v="814"/>
    <x v="1"/>
    <x v="0"/>
    <x v="25"/>
    <x v="1"/>
    <n v="3"/>
    <n v="25"/>
    <n v="75"/>
    <n v="1.125"/>
    <n v="1.5"/>
  </r>
  <r>
    <x v="815"/>
    <n v="12"/>
    <n v="8"/>
    <n v="2023"/>
    <s v="Saturday"/>
    <s v="August"/>
    <d v="2023-08-12T00:00:00"/>
    <x v="815"/>
    <x v="0"/>
    <x v="0"/>
    <x v="16"/>
    <x v="0"/>
    <n v="2"/>
    <n v="500"/>
    <n v="1000"/>
    <n v="15"/>
    <n v="20"/>
  </r>
  <r>
    <x v="816"/>
    <n v="31"/>
    <n v="10"/>
    <n v="2023"/>
    <s v="Tuesday"/>
    <s v="October"/>
    <d v="2023-10-31T00:00:00"/>
    <x v="816"/>
    <x v="0"/>
    <x v="0"/>
    <x v="4"/>
    <x v="0"/>
    <n v="4"/>
    <n v="50"/>
    <n v="200"/>
    <n v="3"/>
    <n v="4"/>
  </r>
  <r>
    <x v="817"/>
    <n v="18"/>
    <n v="5"/>
    <n v="2023"/>
    <s v="Thursday"/>
    <s v="May"/>
    <d v="2023-05-18T00:00:00"/>
    <x v="817"/>
    <x v="0"/>
    <x v="0"/>
    <x v="4"/>
    <x v="2"/>
    <n v="1"/>
    <n v="500"/>
    <n v="500"/>
    <n v="7.5"/>
    <n v="10"/>
  </r>
  <r>
    <x v="818"/>
    <n v="15"/>
    <n v="6"/>
    <n v="2023"/>
    <s v="Thursday"/>
    <s v="June"/>
    <d v="2023-06-15T00:00:00"/>
    <x v="818"/>
    <x v="1"/>
    <x v="0"/>
    <x v="10"/>
    <x v="0"/>
    <n v="2"/>
    <n v="50"/>
    <n v="100"/>
    <n v="1.5"/>
    <n v="2"/>
  </r>
  <r>
    <x v="819"/>
    <n v="6"/>
    <n v="5"/>
    <n v="2023"/>
    <s v="Saturday"/>
    <s v="May"/>
    <d v="2023-05-06T00:00:00"/>
    <x v="819"/>
    <x v="0"/>
    <x v="0"/>
    <x v="19"/>
    <x v="2"/>
    <n v="4"/>
    <n v="50"/>
    <n v="200"/>
    <n v="3"/>
    <n v="4"/>
  </r>
  <r>
    <x v="820"/>
    <n v="14"/>
    <n v="2"/>
    <n v="2023"/>
    <s v="Tuesday"/>
    <s v="February"/>
    <d v="2023-02-14T00:00:00"/>
    <x v="820"/>
    <x v="0"/>
    <x v="0"/>
    <x v="19"/>
    <x v="2"/>
    <n v="1"/>
    <n v="300"/>
    <n v="300"/>
    <n v="4.5"/>
    <n v="6"/>
  </r>
  <r>
    <x v="821"/>
    <n v="23"/>
    <n v="5"/>
    <n v="2023"/>
    <s v="Tuesday"/>
    <s v="May"/>
    <d v="2023-05-23T00:00:00"/>
    <x v="821"/>
    <x v="1"/>
    <x v="0"/>
    <x v="8"/>
    <x v="0"/>
    <n v="3"/>
    <n v="50"/>
    <n v="150"/>
    <n v="2.25"/>
    <n v="3"/>
  </r>
  <r>
    <x v="822"/>
    <n v="19"/>
    <n v="8"/>
    <n v="2023"/>
    <s v="Saturday"/>
    <s v="August"/>
    <d v="2023-08-19T00:00:00"/>
    <x v="822"/>
    <x v="1"/>
    <x v="0"/>
    <x v="37"/>
    <x v="2"/>
    <n v="2"/>
    <n v="50"/>
    <n v="100"/>
    <n v="1.5"/>
    <n v="2"/>
  </r>
  <r>
    <x v="823"/>
    <n v="5"/>
    <n v="5"/>
    <n v="2023"/>
    <s v="Friday"/>
    <s v="May"/>
    <d v="2023-05-05T00:00:00"/>
    <x v="823"/>
    <x v="0"/>
    <x v="0"/>
    <x v="7"/>
    <x v="1"/>
    <n v="4"/>
    <n v="30"/>
    <n v="120"/>
    <n v="1.7999999999999998"/>
    <n v="2.4"/>
  </r>
  <r>
    <x v="824"/>
    <n v="26"/>
    <n v="8"/>
    <n v="2023"/>
    <s v="Saturday"/>
    <s v="August"/>
    <d v="2023-08-26T00:00:00"/>
    <x v="824"/>
    <x v="1"/>
    <x v="0"/>
    <x v="6"/>
    <x v="0"/>
    <n v="1"/>
    <n v="25"/>
    <n v="25"/>
    <n v="0.375"/>
    <n v="0.5"/>
  </r>
  <r>
    <x v="825"/>
    <n v="19"/>
    <n v="10"/>
    <n v="2023"/>
    <s v="Thursday"/>
    <s v="October"/>
    <d v="2023-10-19T00:00:00"/>
    <x v="825"/>
    <x v="1"/>
    <x v="0"/>
    <x v="6"/>
    <x v="1"/>
    <n v="1"/>
    <n v="300"/>
    <n v="300"/>
    <n v="4.5"/>
    <n v="6"/>
  </r>
  <r>
    <x v="826"/>
    <n v="9"/>
    <n v="11"/>
    <n v="2023"/>
    <s v="Thursday"/>
    <s v="November"/>
    <d v="2023-11-09T00:00:00"/>
    <x v="826"/>
    <x v="0"/>
    <x v="0"/>
    <x v="39"/>
    <x v="0"/>
    <n v="3"/>
    <n v="300"/>
    <n v="900"/>
    <n v="13.5"/>
    <n v="18"/>
  </r>
  <r>
    <x v="827"/>
    <n v="9"/>
    <n v="12"/>
    <n v="2023"/>
    <s v="Saturday"/>
    <s v="December"/>
    <d v="2023-12-09T00:00:00"/>
    <x v="827"/>
    <x v="1"/>
    <x v="0"/>
    <x v="44"/>
    <x v="2"/>
    <n v="4"/>
    <n v="300"/>
    <n v="1200"/>
    <n v="18"/>
    <n v="24"/>
  </r>
  <r>
    <x v="828"/>
    <n v="14"/>
    <n v="7"/>
    <n v="2023"/>
    <s v="Friday"/>
    <s v="July"/>
    <d v="2023-07-14T00:00:00"/>
    <x v="828"/>
    <x v="0"/>
    <x v="0"/>
    <x v="39"/>
    <x v="0"/>
    <n v="3"/>
    <n v="30"/>
    <n v="90"/>
    <n v="1.3499999999999999"/>
    <n v="1.8"/>
  </r>
  <r>
    <x v="829"/>
    <n v="22"/>
    <n v="6"/>
    <n v="2023"/>
    <s v="Thursday"/>
    <s v="June"/>
    <d v="2023-06-22T00:00:00"/>
    <x v="829"/>
    <x v="1"/>
    <x v="0"/>
    <x v="12"/>
    <x v="1"/>
    <n v="3"/>
    <n v="50"/>
    <n v="150"/>
    <n v="2.25"/>
    <n v="3"/>
  </r>
  <r>
    <x v="830"/>
    <n v="15"/>
    <n v="1"/>
    <n v="2023"/>
    <s v="Sunday"/>
    <s v="January"/>
    <d v="2023-01-15T00:00:00"/>
    <x v="830"/>
    <x v="0"/>
    <x v="1"/>
    <x v="15"/>
    <x v="2"/>
    <n v="4"/>
    <n v="25"/>
    <n v="100"/>
    <n v="1.5"/>
    <n v="2"/>
  </r>
  <r>
    <x v="831"/>
    <n v="11"/>
    <n v="9"/>
    <n v="2023"/>
    <s v="Monday"/>
    <s v="September"/>
    <d v="2023-09-11T00:00:00"/>
    <x v="831"/>
    <x v="0"/>
    <x v="0"/>
    <x v="16"/>
    <x v="0"/>
    <n v="4"/>
    <n v="500"/>
    <n v="2000"/>
    <n v="30"/>
    <n v="40"/>
  </r>
  <r>
    <x v="832"/>
    <n v="16"/>
    <n v="6"/>
    <n v="2023"/>
    <s v="Friday"/>
    <s v="June"/>
    <d v="2023-06-16T00:00:00"/>
    <x v="832"/>
    <x v="0"/>
    <x v="0"/>
    <x v="13"/>
    <x v="0"/>
    <n v="4"/>
    <n v="50"/>
    <n v="200"/>
    <n v="3"/>
    <n v="4"/>
  </r>
  <r>
    <x v="833"/>
    <n v="4"/>
    <n v="4"/>
    <n v="2023"/>
    <s v="Tuesday"/>
    <s v="April"/>
    <d v="2023-04-04T00:00:00"/>
    <x v="833"/>
    <x v="1"/>
    <x v="0"/>
    <x v="37"/>
    <x v="0"/>
    <n v="2"/>
    <n v="30"/>
    <n v="60"/>
    <n v="0.89999999999999991"/>
    <n v="1.2"/>
  </r>
  <r>
    <x v="834"/>
    <n v="7"/>
    <n v="9"/>
    <n v="2023"/>
    <s v="Thursday"/>
    <s v="September"/>
    <d v="2023-09-07T00:00:00"/>
    <x v="834"/>
    <x v="0"/>
    <x v="0"/>
    <x v="3"/>
    <x v="1"/>
    <n v="4"/>
    <n v="50"/>
    <n v="200"/>
    <n v="3"/>
    <n v="4"/>
  </r>
  <r>
    <x v="835"/>
    <n v="19"/>
    <n v="4"/>
    <n v="2023"/>
    <s v="Wednesday"/>
    <s v="April"/>
    <d v="2023-04-19T00:00:00"/>
    <x v="835"/>
    <x v="1"/>
    <x v="1"/>
    <x v="11"/>
    <x v="1"/>
    <n v="1"/>
    <n v="50"/>
    <n v="50"/>
    <n v="0.75"/>
    <n v="1"/>
  </r>
  <r>
    <x v="836"/>
    <n v="1"/>
    <n v="7"/>
    <n v="2023"/>
    <s v="Saturday"/>
    <s v="July"/>
    <d v="2023-07-01T00:00:00"/>
    <x v="836"/>
    <x v="0"/>
    <x v="1"/>
    <x v="18"/>
    <x v="0"/>
    <n v="3"/>
    <n v="30"/>
    <n v="90"/>
    <n v="1.3499999999999999"/>
    <n v="1.8"/>
  </r>
  <r>
    <x v="837"/>
    <n v="13"/>
    <n v="5"/>
    <n v="2023"/>
    <s v="Saturday"/>
    <s v="May"/>
    <d v="2023-05-13T00:00:00"/>
    <x v="837"/>
    <x v="0"/>
    <x v="0"/>
    <x v="16"/>
    <x v="2"/>
    <n v="2"/>
    <n v="300"/>
    <n v="600"/>
    <n v="9"/>
    <n v="12"/>
  </r>
  <r>
    <x v="838"/>
    <n v="24"/>
    <n v="6"/>
    <n v="2023"/>
    <s v="Saturday"/>
    <s v="June"/>
    <d v="2023-06-24T00:00:00"/>
    <x v="838"/>
    <x v="1"/>
    <x v="1"/>
    <x v="29"/>
    <x v="2"/>
    <n v="4"/>
    <n v="300"/>
    <n v="1200"/>
    <n v="18"/>
    <n v="24"/>
  </r>
  <r>
    <x v="839"/>
    <n v="24"/>
    <n v="5"/>
    <n v="2023"/>
    <s v="Wednesday"/>
    <s v="May"/>
    <d v="2023-05-24T00:00:00"/>
    <x v="839"/>
    <x v="0"/>
    <x v="0"/>
    <x v="17"/>
    <x v="1"/>
    <n v="2"/>
    <n v="25"/>
    <n v="50"/>
    <n v="0.75"/>
    <n v="1"/>
  </r>
  <r>
    <x v="840"/>
    <n v="2"/>
    <n v="11"/>
    <n v="2023"/>
    <s v="Thursday"/>
    <s v="November"/>
    <d v="2023-11-02T00:00:00"/>
    <x v="840"/>
    <x v="0"/>
    <x v="0"/>
    <x v="33"/>
    <x v="2"/>
    <n v="4"/>
    <n v="25"/>
    <n v="100"/>
    <n v="1.5"/>
    <n v="2"/>
  </r>
  <r>
    <x v="841"/>
    <n v="26"/>
    <n v="12"/>
    <n v="2023"/>
    <s v="Tuesday"/>
    <s v="December"/>
    <d v="2023-12-26T00:00:00"/>
    <x v="841"/>
    <x v="1"/>
    <x v="0"/>
    <x v="16"/>
    <x v="1"/>
    <n v="2"/>
    <n v="300"/>
    <n v="600"/>
    <n v="9"/>
    <n v="12"/>
  </r>
  <r>
    <x v="842"/>
    <n v="22"/>
    <n v="5"/>
    <n v="2023"/>
    <s v="Monday"/>
    <s v="May"/>
    <d v="2023-05-22T00:00:00"/>
    <x v="842"/>
    <x v="0"/>
    <x v="1"/>
    <x v="34"/>
    <x v="0"/>
    <n v="3"/>
    <n v="500"/>
    <n v="1500"/>
    <n v="22.5"/>
    <n v="30"/>
  </r>
  <r>
    <x v="843"/>
    <n v="12"/>
    <n v="10"/>
    <n v="2023"/>
    <s v="Thursday"/>
    <s v="October"/>
    <d v="2023-10-12T00:00:00"/>
    <x v="843"/>
    <x v="0"/>
    <x v="0"/>
    <x v="10"/>
    <x v="1"/>
    <n v="3"/>
    <n v="50"/>
    <n v="150"/>
    <n v="2.25"/>
    <n v="3"/>
  </r>
  <r>
    <x v="844"/>
    <n v="6"/>
    <n v="1"/>
    <n v="2023"/>
    <s v="Friday"/>
    <s v="January"/>
    <d v="2023-01-06T00:00:00"/>
    <x v="844"/>
    <x v="0"/>
    <x v="0"/>
    <x v="31"/>
    <x v="1"/>
    <n v="1"/>
    <n v="500"/>
    <n v="500"/>
    <n v="7.5"/>
    <n v="10"/>
  </r>
  <r>
    <x v="845"/>
    <n v="22"/>
    <n v="9"/>
    <n v="2023"/>
    <s v="Friday"/>
    <s v="September"/>
    <d v="2023-09-22T00:00:00"/>
    <x v="845"/>
    <x v="0"/>
    <x v="0"/>
    <x v="13"/>
    <x v="0"/>
    <n v="1"/>
    <n v="50"/>
    <n v="50"/>
    <n v="0.75"/>
    <n v="1"/>
  </r>
  <r>
    <x v="846"/>
    <n v="8"/>
    <n v="4"/>
    <n v="2023"/>
    <s v="Saturday"/>
    <s v="April"/>
    <d v="2023-04-08T00:00:00"/>
    <x v="846"/>
    <x v="1"/>
    <x v="1"/>
    <x v="18"/>
    <x v="2"/>
    <n v="4"/>
    <n v="300"/>
    <n v="1200"/>
    <n v="18"/>
    <n v="24"/>
  </r>
  <r>
    <x v="847"/>
    <n v="13"/>
    <n v="2"/>
    <n v="2023"/>
    <s v="Monday"/>
    <s v="February"/>
    <d v="2023-02-13T00:00:00"/>
    <x v="847"/>
    <x v="1"/>
    <x v="0"/>
    <x v="7"/>
    <x v="1"/>
    <n v="3"/>
    <n v="25"/>
    <n v="75"/>
    <n v="1.125"/>
    <n v="1.5"/>
  </r>
  <r>
    <x v="848"/>
    <n v="4"/>
    <n v="5"/>
    <n v="2023"/>
    <s v="Thursday"/>
    <s v="May"/>
    <d v="2023-05-04T00:00:00"/>
    <x v="848"/>
    <x v="0"/>
    <x v="0"/>
    <x v="40"/>
    <x v="1"/>
    <n v="2"/>
    <n v="25"/>
    <n v="50"/>
    <n v="0.75"/>
    <n v="1"/>
  </r>
  <r>
    <x v="849"/>
    <n v="28"/>
    <n v="7"/>
    <n v="2023"/>
    <s v="Friday"/>
    <s v="July"/>
    <d v="2023-07-28T00:00:00"/>
    <x v="849"/>
    <x v="1"/>
    <x v="1"/>
    <x v="1"/>
    <x v="0"/>
    <n v="2"/>
    <n v="500"/>
    <n v="1000"/>
    <n v="15"/>
    <n v="20"/>
  </r>
  <r>
    <x v="850"/>
    <n v="8"/>
    <n v="9"/>
    <n v="2023"/>
    <s v="Friday"/>
    <s v="September"/>
    <d v="2023-09-08T00:00:00"/>
    <x v="850"/>
    <x v="0"/>
    <x v="0"/>
    <x v="40"/>
    <x v="2"/>
    <n v="2"/>
    <n v="25"/>
    <n v="50"/>
    <n v="0.75"/>
    <n v="1"/>
  </r>
  <r>
    <x v="851"/>
    <n v="12"/>
    <n v="10"/>
    <n v="2023"/>
    <s v="Thursday"/>
    <s v="October"/>
    <d v="2023-10-12T00:00:00"/>
    <x v="851"/>
    <x v="1"/>
    <x v="0"/>
    <x v="41"/>
    <x v="1"/>
    <n v="1"/>
    <n v="300"/>
    <n v="300"/>
    <n v="4.5"/>
    <n v="6"/>
  </r>
  <r>
    <x v="852"/>
    <n v="4"/>
    <n v="5"/>
    <n v="2023"/>
    <s v="Thursday"/>
    <s v="May"/>
    <d v="2023-05-04T00:00:00"/>
    <x v="852"/>
    <x v="0"/>
    <x v="1"/>
    <x v="34"/>
    <x v="0"/>
    <n v="2"/>
    <n v="500"/>
    <n v="1000"/>
    <n v="15"/>
    <n v="20"/>
  </r>
  <r>
    <x v="853"/>
    <n v="20"/>
    <n v="12"/>
    <n v="2023"/>
    <s v="Wednesday"/>
    <s v="December"/>
    <d v="2023-12-20T00:00:00"/>
    <x v="853"/>
    <x v="0"/>
    <x v="1"/>
    <x v="38"/>
    <x v="1"/>
    <n v="1"/>
    <n v="50"/>
    <n v="50"/>
    <n v="0.75"/>
    <n v="1"/>
  </r>
  <r>
    <x v="854"/>
    <n v="1"/>
    <n v="9"/>
    <n v="2023"/>
    <s v="Friday"/>
    <s v="September"/>
    <d v="2023-09-01T00:00:00"/>
    <x v="854"/>
    <x v="0"/>
    <x v="0"/>
    <x v="31"/>
    <x v="0"/>
    <n v="1"/>
    <n v="25"/>
    <n v="25"/>
    <n v="0.375"/>
    <n v="0.5"/>
  </r>
  <r>
    <x v="855"/>
    <n v="27"/>
    <n v="11"/>
    <n v="2023"/>
    <s v="Monday"/>
    <s v="November"/>
    <d v="2023-11-27T00:00:00"/>
    <x v="855"/>
    <x v="0"/>
    <x v="0"/>
    <x v="31"/>
    <x v="2"/>
    <n v="4"/>
    <n v="30"/>
    <n v="120"/>
    <n v="1.7999999999999998"/>
    <n v="2.4"/>
  </r>
  <r>
    <x v="856"/>
    <n v="31"/>
    <n v="12"/>
    <n v="2023"/>
    <s v="Sunday"/>
    <s v="December"/>
    <d v="2023-12-31T00:00:00"/>
    <x v="856"/>
    <x v="0"/>
    <x v="0"/>
    <x v="43"/>
    <x v="2"/>
    <n v="2"/>
    <n v="25"/>
    <n v="50"/>
    <n v="0.75"/>
    <n v="1"/>
  </r>
  <r>
    <x v="857"/>
    <n v="9"/>
    <n v="9"/>
    <n v="2023"/>
    <s v="Saturday"/>
    <s v="September"/>
    <d v="2023-09-09T00:00:00"/>
    <x v="857"/>
    <x v="0"/>
    <x v="1"/>
    <x v="9"/>
    <x v="2"/>
    <n v="2"/>
    <n v="50"/>
    <n v="100"/>
    <n v="1.5"/>
    <n v="2"/>
  </r>
  <r>
    <x v="858"/>
    <n v="18"/>
    <n v="8"/>
    <n v="2023"/>
    <s v="Friday"/>
    <s v="August"/>
    <d v="2023-08-18T00:00:00"/>
    <x v="858"/>
    <x v="1"/>
    <x v="0"/>
    <x v="37"/>
    <x v="2"/>
    <n v="3"/>
    <n v="500"/>
    <n v="1500"/>
    <n v="22.5"/>
    <n v="30"/>
  </r>
  <r>
    <x v="859"/>
    <n v="9"/>
    <n v="1"/>
    <n v="2023"/>
    <s v="Monday"/>
    <s v="January"/>
    <d v="2023-01-09T00:00:00"/>
    <x v="859"/>
    <x v="0"/>
    <x v="0"/>
    <x v="7"/>
    <x v="1"/>
    <n v="4"/>
    <n v="50"/>
    <n v="200"/>
    <n v="3"/>
    <n v="4"/>
  </r>
  <r>
    <x v="860"/>
    <n v="17"/>
    <n v="2"/>
    <n v="2023"/>
    <s v="Friday"/>
    <s v="February"/>
    <d v="2023-02-17T00:00:00"/>
    <x v="860"/>
    <x v="1"/>
    <x v="0"/>
    <x v="41"/>
    <x v="1"/>
    <n v="3"/>
    <n v="30"/>
    <n v="90"/>
    <n v="1.3499999999999999"/>
    <n v="1.8"/>
  </r>
  <r>
    <x v="861"/>
    <n v="31"/>
    <n v="5"/>
    <n v="2023"/>
    <s v="Wednesday"/>
    <s v="May"/>
    <d v="2023-05-31T00:00:00"/>
    <x v="861"/>
    <x v="0"/>
    <x v="1"/>
    <x v="20"/>
    <x v="2"/>
    <n v="4"/>
    <n v="300"/>
    <n v="1200"/>
    <n v="18"/>
    <n v="24"/>
  </r>
  <r>
    <x v="862"/>
    <n v="24"/>
    <n v="4"/>
    <n v="2023"/>
    <s v="Monday"/>
    <s v="April"/>
    <d v="2023-04-24T00:00:00"/>
    <x v="862"/>
    <x v="1"/>
    <x v="0"/>
    <x v="4"/>
    <x v="2"/>
    <n v="2"/>
    <n v="25"/>
    <n v="50"/>
    <n v="0.75"/>
    <n v="1"/>
  </r>
  <r>
    <x v="863"/>
    <n v="27"/>
    <n v="7"/>
    <n v="2023"/>
    <s v="Thursday"/>
    <s v="July"/>
    <d v="2023-07-27T00:00:00"/>
    <x v="863"/>
    <x v="1"/>
    <x v="0"/>
    <x v="25"/>
    <x v="2"/>
    <n v="1"/>
    <n v="500"/>
    <n v="500"/>
    <n v="7.5"/>
    <n v="10"/>
  </r>
  <r>
    <x v="864"/>
    <n v="21"/>
    <n v="12"/>
    <n v="2023"/>
    <s v="Thursday"/>
    <s v="December"/>
    <d v="2023-12-21T00:00:00"/>
    <x v="864"/>
    <x v="1"/>
    <x v="0"/>
    <x v="13"/>
    <x v="1"/>
    <n v="1"/>
    <n v="300"/>
    <n v="300"/>
    <n v="4.5"/>
    <n v="6"/>
  </r>
  <r>
    <x v="865"/>
    <n v="5"/>
    <n v="5"/>
    <n v="2023"/>
    <s v="Friday"/>
    <s v="May"/>
    <d v="2023-05-05T00:00:00"/>
    <x v="865"/>
    <x v="0"/>
    <x v="1"/>
    <x v="46"/>
    <x v="2"/>
    <n v="1"/>
    <n v="50"/>
    <n v="50"/>
    <n v="0.75"/>
    <n v="1"/>
  </r>
  <r>
    <x v="866"/>
    <n v="6"/>
    <n v="6"/>
    <n v="2023"/>
    <s v="Tuesday"/>
    <s v="June"/>
    <d v="2023-06-06T00:00:00"/>
    <x v="866"/>
    <x v="0"/>
    <x v="1"/>
    <x v="34"/>
    <x v="2"/>
    <n v="1"/>
    <n v="500"/>
    <n v="500"/>
    <n v="7.5"/>
    <n v="10"/>
  </r>
  <r>
    <x v="867"/>
    <n v="6"/>
    <n v="12"/>
    <n v="2023"/>
    <s v="Wednesday"/>
    <s v="December"/>
    <d v="2023-12-06T00:00:00"/>
    <x v="867"/>
    <x v="1"/>
    <x v="1"/>
    <x v="36"/>
    <x v="2"/>
    <n v="1"/>
    <n v="300"/>
    <n v="300"/>
    <n v="4.5"/>
    <n v="6"/>
  </r>
  <r>
    <x v="868"/>
    <n v="25"/>
    <n v="10"/>
    <n v="2023"/>
    <s v="Wednesday"/>
    <s v="October"/>
    <d v="2023-10-25T00:00:00"/>
    <x v="868"/>
    <x v="0"/>
    <x v="0"/>
    <x v="3"/>
    <x v="0"/>
    <n v="3"/>
    <n v="500"/>
    <n v="1500"/>
    <n v="22.5"/>
    <n v="30"/>
  </r>
  <r>
    <x v="869"/>
    <n v="8"/>
    <n v="7"/>
    <n v="2023"/>
    <s v="Saturday"/>
    <s v="July"/>
    <d v="2023-07-08T00:00:00"/>
    <x v="869"/>
    <x v="1"/>
    <x v="0"/>
    <x v="6"/>
    <x v="2"/>
    <n v="4"/>
    <n v="30"/>
    <n v="120"/>
    <n v="1.7999999999999998"/>
    <n v="2.4"/>
  </r>
  <r>
    <x v="870"/>
    <n v="31"/>
    <n v="8"/>
    <n v="2023"/>
    <s v="Thursday"/>
    <s v="August"/>
    <d v="2023-08-31T00:00:00"/>
    <x v="870"/>
    <x v="0"/>
    <x v="0"/>
    <x v="17"/>
    <x v="0"/>
    <n v="2"/>
    <n v="30"/>
    <n v="60"/>
    <n v="0.89999999999999991"/>
    <n v="1.2"/>
  </r>
  <r>
    <x v="871"/>
    <n v="11"/>
    <n v="10"/>
    <n v="2023"/>
    <s v="Wednesday"/>
    <s v="October"/>
    <d v="2023-10-11T00:00:00"/>
    <x v="871"/>
    <x v="1"/>
    <x v="0"/>
    <x v="7"/>
    <x v="0"/>
    <n v="3"/>
    <n v="25"/>
    <n v="75"/>
    <n v="1.125"/>
    <n v="1.5"/>
  </r>
  <r>
    <x v="872"/>
    <n v="29"/>
    <n v="9"/>
    <n v="2023"/>
    <s v="Friday"/>
    <s v="September"/>
    <d v="2023-09-29T00:00:00"/>
    <x v="872"/>
    <x v="1"/>
    <x v="1"/>
    <x v="15"/>
    <x v="2"/>
    <n v="4"/>
    <n v="25"/>
    <n v="100"/>
    <n v="1.5"/>
    <n v="2"/>
  </r>
  <r>
    <x v="873"/>
    <n v="26"/>
    <n v="6"/>
    <n v="2023"/>
    <s v="Monday"/>
    <s v="June"/>
    <d v="2023-06-26T00:00:00"/>
    <x v="873"/>
    <x v="0"/>
    <x v="0"/>
    <x v="43"/>
    <x v="0"/>
    <n v="1"/>
    <n v="30"/>
    <n v="30"/>
    <n v="0.44999999999999996"/>
    <n v="0.6"/>
  </r>
  <r>
    <x v="874"/>
    <n v="6"/>
    <n v="8"/>
    <n v="2023"/>
    <s v="Sunday"/>
    <s v="August"/>
    <d v="2023-08-06T00:00:00"/>
    <x v="874"/>
    <x v="1"/>
    <x v="0"/>
    <x v="25"/>
    <x v="2"/>
    <n v="4"/>
    <n v="500"/>
    <n v="2000"/>
    <n v="30"/>
    <n v="40"/>
  </r>
  <r>
    <x v="875"/>
    <n v="9"/>
    <n v="10"/>
    <n v="2023"/>
    <s v="Monday"/>
    <s v="October"/>
    <d v="2023-10-09T00:00:00"/>
    <x v="875"/>
    <x v="0"/>
    <x v="0"/>
    <x v="22"/>
    <x v="1"/>
    <n v="4"/>
    <n v="30"/>
    <n v="120"/>
    <n v="1.7999999999999998"/>
    <n v="2.4"/>
  </r>
  <r>
    <x v="876"/>
    <n v="19"/>
    <n v="6"/>
    <n v="2023"/>
    <s v="Monday"/>
    <s v="June"/>
    <d v="2023-06-19T00:00:00"/>
    <x v="876"/>
    <x v="1"/>
    <x v="0"/>
    <x v="26"/>
    <x v="1"/>
    <n v="1"/>
    <n v="25"/>
    <n v="25"/>
    <n v="0.375"/>
    <n v="0.5"/>
  </r>
  <r>
    <x v="877"/>
    <n v="30"/>
    <n v="6"/>
    <n v="2023"/>
    <s v="Friday"/>
    <s v="June"/>
    <d v="2023-06-30T00:00:00"/>
    <x v="877"/>
    <x v="1"/>
    <x v="1"/>
    <x v="29"/>
    <x v="1"/>
    <n v="1"/>
    <n v="30"/>
    <n v="30"/>
    <n v="0.44999999999999996"/>
    <n v="0.6"/>
  </r>
  <r>
    <x v="878"/>
    <n v="26"/>
    <n v="12"/>
    <n v="2023"/>
    <s v="Tuesday"/>
    <s v="December"/>
    <d v="2023-12-26T00:00:00"/>
    <x v="878"/>
    <x v="0"/>
    <x v="1"/>
    <x v="9"/>
    <x v="1"/>
    <n v="1"/>
    <n v="30"/>
    <n v="30"/>
    <n v="0.44999999999999996"/>
    <n v="0.6"/>
  </r>
  <r>
    <x v="879"/>
    <n v="21"/>
    <n v="8"/>
    <n v="2023"/>
    <s v="Monday"/>
    <s v="August"/>
    <d v="2023-08-21T00:00:00"/>
    <x v="879"/>
    <x v="0"/>
    <x v="1"/>
    <x v="11"/>
    <x v="0"/>
    <n v="2"/>
    <n v="500"/>
    <n v="1000"/>
    <n v="15"/>
    <n v="20"/>
  </r>
  <r>
    <x v="880"/>
    <n v="19"/>
    <n v="5"/>
    <n v="2023"/>
    <s v="Friday"/>
    <s v="May"/>
    <d v="2023-05-19T00:00:00"/>
    <x v="880"/>
    <x v="0"/>
    <x v="1"/>
    <x v="11"/>
    <x v="2"/>
    <n v="1"/>
    <n v="300"/>
    <n v="300"/>
    <n v="4.5"/>
    <n v="6"/>
  </r>
  <r>
    <x v="881"/>
    <n v="6"/>
    <n v="6"/>
    <n v="2023"/>
    <s v="Tuesday"/>
    <s v="June"/>
    <d v="2023-06-06T00:00:00"/>
    <x v="881"/>
    <x v="1"/>
    <x v="0"/>
    <x v="12"/>
    <x v="2"/>
    <n v="2"/>
    <n v="25"/>
    <n v="50"/>
    <n v="0.75"/>
    <n v="1"/>
  </r>
  <r>
    <x v="882"/>
    <n v="9"/>
    <n v="5"/>
    <n v="2023"/>
    <s v="Tuesday"/>
    <s v="May"/>
    <d v="2023-05-09T00:00:00"/>
    <x v="882"/>
    <x v="0"/>
    <x v="0"/>
    <x v="30"/>
    <x v="2"/>
    <n v="1"/>
    <n v="500"/>
    <n v="500"/>
    <n v="7.5"/>
    <n v="10"/>
  </r>
  <r>
    <x v="883"/>
    <n v="29"/>
    <n v="4"/>
    <n v="2023"/>
    <s v="Saturday"/>
    <s v="April"/>
    <d v="2023-04-29T00:00:00"/>
    <x v="883"/>
    <x v="1"/>
    <x v="1"/>
    <x v="1"/>
    <x v="1"/>
    <n v="2"/>
    <n v="30"/>
    <n v="60"/>
    <n v="0.89999999999999991"/>
    <n v="1.2"/>
  </r>
  <r>
    <x v="884"/>
    <n v="3"/>
    <n v="3"/>
    <n v="2023"/>
    <s v="Friday"/>
    <s v="March"/>
    <d v="2023-03-03T00:00:00"/>
    <x v="884"/>
    <x v="1"/>
    <x v="0"/>
    <x v="8"/>
    <x v="1"/>
    <n v="4"/>
    <n v="30"/>
    <n v="120"/>
    <n v="1.7999999999999998"/>
    <n v="2.4"/>
  </r>
  <r>
    <x v="885"/>
    <n v="9"/>
    <n v="4"/>
    <n v="2023"/>
    <s v="Sunday"/>
    <s v="April"/>
    <d v="2023-04-09T00:00:00"/>
    <x v="885"/>
    <x v="0"/>
    <x v="0"/>
    <x v="3"/>
    <x v="2"/>
    <n v="3"/>
    <n v="300"/>
    <n v="900"/>
    <n v="13.5"/>
    <n v="18"/>
  </r>
  <r>
    <x v="886"/>
    <n v="11"/>
    <n v="6"/>
    <n v="2023"/>
    <s v="Sunday"/>
    <s v="June"/>
    <d v="2023-06-11T00:00:00"/>
    <x v="886"/>
    <x v="0"/>
    <x v="0"/>
    <x v="42"/>
    <x v="1"/>
    <n v="4"/>
    <n v="25"/>
    <n v="100"/>
    <n v="1.5"/>
    <n v="2"/>
  </r>
  <r>
    <x v="887"/>
    <n v="3"/>
    <n v="3"/>
    <n v="2023"/>
    <s v="Friday"/>
    <s v="March"/>
    <d v="2023-03-03T00:00:00"/>
    <x v="887"/>
    <x v="1"/>
    <x v="0"/>
    <x v="8"/>
    <x v="2"/>
    <n v="4"/>
    <n v="25"/>
    <n v="100"/>
    <n v="1.5"/>
    <n v="2"/>
  </r>
  <r>
    <x v="888"/>
    <n v="2"/>
    <n v="10"/>
    <n v="2023"/>
    <s v="Monday"/>
    <s v="October"/>
    <d v="2023-10-02T00:00:00"/>
    <x v="888"/>
    <x v="1"/>
    <x v="0"/>
    <x v="10"/>
    <x v="2"/>
    <n v="1"/>
    <n v="50"/>
    <n v="50"/>
    <n v="0.75"/>
    <n v="1"/>
  </r>
  <r>
    <x v="889"/>
    <n v="20"/>
    <n v="12"/>
    <n v="2023"/>
    <s v="Wednesday"/>
    <s v="December"/>
    <d v="2023-12-20T00:00:00"/>
    <x v="889"/>
    <x v="0"/>
    <x v="0"/>
    <x v="0"/>
    <x v="2"/>
    <n v="2"/>
    <n v="25"/>
    <n v="50"/>
    <n v="0.75"/>
    <n v="1"/>
  </r>
  <r>
    <x v="890"/>
    <n v="5"/>
    <n v="4"/>
    <n v="2023"/>
    <s v="Wednesday"/>
    <s v="April"/>
    <d v="2023-04-05T00:00:00"/>
    <x v="890"/>
    <x v="0"/>
    <x v="0"/>
    <x v="41"/>
    <x v="2"/>
    <n v="3"/>
    <n v="300"/>
    <n v="900"/>
    <n v="13.5"/>
    <n v="18"/>
  </r>
  <r>
    <x v="891"/>
    <n v="9"/>
    <n v="4"/>
    <n v="2023"/>
    <s v="Sunday"/>
    <s v="April"/>
    <d v="2023-04-09T00:00:00"/>
    <x v="891"/>
    <x v="0"/>
    <x v="1"/>
    <x v="29"/>
    <x v="2"/>
    <n v="1"/>
    <n v="50"/>
    <n v="50"/>
    <n v="0.75"/>
    <n v="1"/>
  </r>
  <r>
    <x v="892"/>
    <n v="21"/>
    <n v="4"/>
    <n v="2023"/>
    <s v="Friday"/>
    <s v="April"/>
    <d v="2023-04-21T00:00:00"/>
    <x v="892"/>
    <x v="0"/>
    <x v="0"/>
    <x v="19"/>
    <x v="2"/>
    <n v="1"/>
    <n v="50"/>
    <n v="50"/>
    <n v="0.75"/>
    <n v="1"/>
  </r>
  <r>
    <x v="893"/>
    <n v="5"/>
    <n v="9"/>
    <n v="2023"/>
    <s v="Tuesday"/>
    <s v="September"/>
    <d v="2023-09-05T00:00:00"/>
    <x v="893"/>
    <x v="0"/>
    <x v="0"/>
    <x v="8"/>
    <x v="2"/>
    <n v="1"/>
    <n v="30"/>
    <n v="30"/>
    <n v="0.44999999999999996"/>
    <n v="0.6"/>
  </r>
  <r>
    <x v="894"/>
    <n v="22"/>
    <n v="5"/>
    <n v="2023"/>
    <s v="Monday"/>
    <s v="May"/>
    <d v="2023-05-22T00:00:00"/>
    <x v="894"/>
    <x v="1"/>
    <x v="0"/>
    <x v="28"/>
    <x v="1"/>
    <n v="4"/>
    <n v="30"/>
    <n v="120"/>
    <n v="1.7999999999999998"/>
    <n v="2.4"/>
  </r>
  <r>
    <x v="895"/>
    <n v="29"/>
    <n v="10"/>
    <n v="2023"/>
    <s v="Sunday"/>
    <s v="October"/>
    <d v="2023-10-29T00:00:00"/>
    <x v="895"/>
    <x v="1"/>
    <x v="0"/>
    <x v="4"/>
    <x v="2"/>
    <n v="2"/>
    <n v="25"/>
    <n v="50"/>
    <n v="0.75"/>
    <n v="1"/>
  </r>
  <r>
    <x v="896"/>
    <n v="26"/>
    <n v="9"/>
    <n v="2023"/>
    <s v="Tuesday"/>
    <s v="September"/>
    <d v="2023-09-26T00:00:00"/>
    <x v="896"/>
    <x v="1"/>
    <x v="0"/>
    <x v="12"/>
    <x v="2"/>
    <n v="2"/>
    <n v="50"/>
    <n v="100"/>
    <n v="1.5"/>
    <n v="2"/>
  </r>
  <r>
    <x v="897"/>
    <n v="2"/>
    <n v="11"/>
    <n v="2023"/>
    <s v="Thursday"/>
    <s v="November"/>
    <d v="2023-11-02T00:00:00"/>
    <x v="897"/>
    <x v="1"/>
    <x v="0"/>
    <x v="13"/>
    <x v="1"/>
    <n v="3"/>
    <n v="30"/>
    <n v="90"/>
    <n v="1.3499999999999999"/>
    <n v="1.8"/>
  </r>
  <r>
    <x v="898"/>
    <n v="25"/>
    <n v="5"/>
    <n v="2023"/>
    <s v="Thursday"/>
    <s v="May"/>
    <d v="2023-05-25T00:00:00"/>
    <x v="898"/>
    <x v="0"/>
    <x v="1"/>
    <x v="1"/>
    <x v="1"/>
    <n v="2"/>
    <n v="300"/>
    <n v="600"/>
    <n v="9"/>
    <n v="12"/>
  </r>
  <r>
    <x v="899"/>
    <n v="21"/>
    <n v="2"/>
    <n v="2023"/>
    <s v="Tuesday"/>
    <s v="February"/>
    <d v="2023-02-21T00:00:00"/>
    <x v="899"/>
    <x v="0"/>
    <x v="1"/>
    <x v="34"/>
    <x v="1"/>
    <n v="2"/>
    <n v="30"/>
    <n v="60"/>
    <n v="0.89999999999999991"/>
    <n v="1.2"/>
  </r>
  <r>
    <x v="900"/>
    <n v="10"/>
    <n v="4"/>
    <n v="2023"/>
    <s v="Monday"/>
    <s v="April"/>
    <d v="2023-04-10T00:00:00"/>
    <x v="900"/>
    <x v="0"/>
    <x v="0"/>
    <x v="33"/>
    <x v="2"/>
    <n v="1"/>
    <n v="30"/>
    <n v="30"/>
    <n v="0.44999999999999996"/>
    <n v="0.6"/>
  </r>
  <r>
    <x v="901"/>
    <n v="1"/>
    <n v="6"/>
    <n v="2023"/>
    <s v="Thursday"/>
    <s v="June"/>
    <d v="2023-06-01T00:00:00"/>
    <x v="901"/>
    <x v="1"/>
    <x v="0"/>
    <x v="31"/>
    <x v="0"/>
    <n v="1"/>
    <n v="50"/>
    <n v="50"/>
    <n v="0.75"/>
    <n v="1"/>
  </r>
  <r>
    <x v="902"/>
    <n v="27"/>
    <n v="4"/>
    <n v="2023"/>
    <s v="Thursday"/>
    <s v="April"/>
    <d v="2023-04-27T00:00:00"/>
    <x v="902"/>
    <x v="1"/>
    <x v="0"/>
    <x v="25"/>
    <x v="0"/>
    <n v="4"/>
    <n v="50"/>
    <n v="200"/>
    <n v="3"/>
    <n v="4"/>
  </r>
  <r>
    <x v="903"/>
    <n v="4"/>
    <n v="7"/>
    <n v="2023"/>
    <s v="Tuesday"/>
    <s v="July"/>
    <d v="2023-07-04T00:00:00"/>
    <x v="903"/>
    <x v="0"/>
    <x v="1"/>
    <x v="20"/>
    <x v="1"/>
    <n v="1"/>
    <n v="500"/>
    <n v="500"/>
    <n v="7.5"/>
    <n v="10"/>
  </r>
  <r>
    <x v="904"/>
    <n v="2"/>
    <n v="4"/>
    <n v="2023"/>
    <s v="Sunday"/>
    <s v="April"/>
    <d v="2023-04-02T00:00:00"/>
    <x v="904"/>
    <x v="0"/>
    <x v="0"/>
    <x v="26"/>
    <x v="0"/>
    <n v="1"/>
    <n v="300"/>
    <n v="300"/>
    <n v="4.5"/>
    <n v="6"/>
  </r>
  <r>
    <x v="905"/>
    <n v="4"/>
    <n v="6"/>
    <n v="2023"/>
    <s v="Sunday"/>
    <s v="June"/>
    <d v="2023-06-04T00:00:00"/>
    <x v="905"/>
    <x v="1"/>
    <x v="1"/>
    <x v="29"/>
    <x v="1"/>
    <n v="1"/>
    <n v="50"/>
    <n v="50"/>
    <n v="0.75"/>
    <n v="1"/>
  </r>
  <r>
    <x v="906"/>
    <n v="8"/>
    <n v="1"/>
    <n v="2023"/>
    <s v="Sunday"/>
    <s v="January"/>
    <d v="2023-01-08T00:00:00"/>
    <x v="906"/>
    <x v="1"/>
    <x v="0"/>
    <x v="5"/>
    <x v="2"/>
    <n v="1"/>
    <n v="25"/>
    <n v="25"/>
    <n v="0.375"/>
    <n v="0.5"/>
  </r>
  <r>
    <x v="907"/>
    <n v="29"/>
    <n v="12"/>
    <n v="2023"/>
    <s v="Friday"/>
    <s v="December"/>
    <d v="2023-12-29T00:00:00"/>
    <x v="907"/>
    <x v="0"/>
    <x v="0"/>
    <x v="6"/>
    <x v="0"/>
    <n v="4"/>
    <n v="300"/>
    <n v="1200"/>
    <n v="18"/>
    <n v="24"/>
  </r>
  <r>
    <x v="908"/>
    <n v="1"/>
    <n v="10"/>
    <n v="2023"/>
    <s v="Sunday"/>
    <s v="October"/>
    <d v="2023-10-01T00:00:00"/>
    <x v="908"/>
    <x v="0"/>
    <x v="1"/>
    <x v="1"/>
    <x v="2"/>
    <n v="1"/>
    <n v="300"/>
    <n v="300"/>
    <n v="4.5"/>
    <n v="6"/>
  </r>
  <r>
    <x v="909"/>
    <n v="6"/>
    <n v="3"/>
    <n v="2023"/>
    <s v="Monday"/>
    <s v="March"/>
    <d v="2023-03-06T00:00:00"/>
    <x v="909"/>
    <x v="1"/>
    <x v="1"/>
    <x v="29"/>
    <x v="0"/>
    <n v="3"/>
    <n v="50"/>
    <n v="150"/>
    <n v="2.25"/>
    <n v="3"/>
  </r>
  <r>
    <x v="910"/>
    <n v="21"/>
    <n v="5"/>
    <n v="2023"/>
    <s v="Sunday"/>
    <s v="May"/>
    <d v="2023-05-21T00:00:00"/>
    <x v="910"/>
    <x v="0"/>
    <x v="0"/>
    <x v="13"/>
    <x v="2"/>
    <n v="3"/>
    <n v="300"/>
    <n v="900"/>
    <n v="13.5"/>
    <n v="18"/>
  </r>
  <r>
    <x v="911"/>
    <n v="24"/>
    <n v="1"/>
    <n v="2023"/>
    <s v="Tuesday"/>
    <s v="January"/>
    <d v="2023-01-24T00:00:00"/>
    <x v="911"/>
    <x v="0"/>
    <x v="0"/>
    <x v="25"/>
    <x v="0"/>
    <n v="3"/>
    <n v="50"/>
    <n v="150"/>
    <n v="2.25"/>
    <n v="3"/>
  </r>
  <r>
    <x v="912"/>
    <n v="28"/>
    <n v="1"/>
    <n v="2023"/>
    <s v="Saturday"/>
    <s v="January"/>
    <d v="2023-01-28T00:00:00"/>
    <x v="912"/>
    <x v="0"/>
    <x v="1"/>
    <x v="38"/>
    <x v="2"/>
    <n v="3"/>
    <n v="30"/>
    <n v="90"/>
    <n v="1.3499999999999999"/>
    <n v="1.8"/>
  </r>
  <r>
    <x v="913"/>
    <n v="11"/>
    <n v="10"/>
    <n v="2023"/>
    <s v="Wednesday"/>
    <s v="October"/>
    <d v="2023-10-11T00:00:00"/>
    <x v="913"/>
    <x v="1"/>
    <x v="0"/>
    <x v="42"/>
    <x v="2"/>
    <n v="1"/>
    <n v="500"/>
    <n v="500"/>
    <n v="7.5"/>
    <n v="10"/>
  </r>
  <r>
    <x v="914"/>
    <n v="30"/>
    <n v="5"/>
    <n v="2023"/>
    <s v="Tuesday"/>
    <s v="May"/>
    <d v="2023-05-30T00:00:00"/>
    <x v="914"/>
    <x v="1"/>
    <x v="1"/>
    <x v="1"/>
    <x v="0"/>
    <n v="3"/>
    <n v="30"/>
    <n v="90"/>
    <n v="1.3499999999999999"/>
    <n v="1.8"/>
  </r>
  <r>
    <x v="915"/>
    <n v="24"/>
    <n v="12"/>
    <n v="2023"/>
    <s v="Sunday"/>
    <s v="December"/>
    <d v="2023-12-24T00:00:00"/>
    <x v="915"/>
    <x v="1"/>
    <x v="0"/>
    <x v="40"/>
    <x v="2"/>
    <n v="1"/>
    <n v="50"/>
    <n v="50"/>
    <n v="0.75"/>
    <n v="1"/>
  </r>
  <r>
    <x v="916"/>
    <n v="6"/>
    <n v="3"/>
    <n v="2023"/>
    <s v="Monday"/>
    <s v="March"/>
    <d v="2023-03-06T00:00:00"/>
    <x v="916"/>
    <x v="1"/>
    <x v="0"/>
    <x v="35"/>
    <x v="2"/>
    <n v="4"/>
    <n v="50"/>
    <n v="200"/>
    <n v="3"/>
    <n v="4"/>
  </r>
  <r>
    <x v="917"/>
    <n v="23"/>
    <n v="11"/>
    <n v="2023"/>
    <s v="Thursday"/>
    <s v="November"/>
    <d v="2023-11-23T00:00:00"/>
    <x v="917"/>
    <x v="1"/>
    <x v="0"/>
    <x v="13"/>
    <x v="2"/>
    <n v="3"/>
    <n v="30"/>
    <n v="90"/>
    <n v="1.3499999999999999"/>
    <n v="1.8"/>
  </r>
  <r>
    <x v="918"/>
    <n v="9"/>
    <n v="9"/>
    <n v="2023"/>
    <s v="Saturday"/>
    <s v="September"/>
    <d v="2023-09-09T00:00:00"/>
    <x v="918"/>
    <x v="1"/>
    <x v="1"/>
    <x v="11"/>
    <x v="0"/>
    <n v="2"/>
    <n v="25"/>
    <n v="50"/>
    <n v="0.75"/>
    <n v="1"/>
  </r>
  <r>
    <x v="919"/>
    <n v="22"/>
    <n v="2"/>
    <n v="2023"/>
    <s v="Wednesday"/>
    <s v="February"/>
    <d v="2023-02-22T00:00:00"/>
    <x v="919"/>
    <x v="1"/>
    <x v="1"/>
    <x v="20"/>
    <x v="0"/>
    <n v="3"/>
    <n v="25"/>
    <n v="75"/>
    <n v="1.125"/>
    <n v="1.5"/>
  </r>
  <r>
    <x v="920"/>
    <n v="7"/>
    <n v="1"/>
    <n v="2023"/>
    <s v="Saturday"/>
    <s v="January"/>
    <d v="2023-01-07T00:00:00"/>
    <x v="920"/>
    <x v="0"/>
    <x v="0"/>
    <x v="25"/>
    <x v="2"/>
    <n v="3"/>
    <n v="25"/>
    <n v="75"/>
    <n v="1.125"/>
    <n v="1.5"/>
  </r>
  <r>
    <x v="921"/>
    <n v="21"/>
    <n v="10"/>
    <n v="2023"/>
    <s v="Saturday"/>
    <s v="October"/>
    <d v="2023-10-21T00:00:00"/>
    <x v="921"/>
    <x v="0"/>
    <x v="0"/>
    <x v="41"/>
    <x v="2"/>
    <n v="1"/>
    <n v="50"/>
    <n v="50"/>
    <n v="0.75"/>
    <n v="1"/>
  </r>
  <r>
    <x v="922"/>
    <n v="26"/>
    <n v="5"/>
    <n v="2023"/>
    <s v="Friday"/>
    <s v="May"/>
    <d v="2023-05-26T00:00:00"/>
    <x v="922"/>
    <x v="0"/>
    <x v="0"/>
    <x v="40"/>
    <x v="0"/>
    <n v="3"/>
    <n v="300"/>
    <n v="900"/>
    <n v="13.5"/>
    <n v="18"/>
  </r>
  <r>
    <x v="923"/>
    <n v="29"/>
    <n v="8"/>
    <n v="2023"/>
    <s v="Tuesday"/>
    <s v="August"/>
    <d v="2023-08-29T00:00:00"/>
    <x v="923"/>
    <x v="0"/>
    <x v="0"/>
    <x v="28"/>
    <x v="0"/>
    <n v="2"/>
    <n v="50"/>
    <n v="100"/>
    <n v="1.5"/>
    <n v="2"/>
  </r>
  <r>
    <x v="924"/>
    <n v="3"/>
    <n v="9"/>
    <n v="2023"/>
    <s v="Sunday"/>
    <s v="September"/>
    <d v="2023-09-03T00:00:00"/>
    <x v="924"/>
    <x v="0"/>
    <x v="1"/>
    <x v="36"/>
    <x v="2"/>
    <n v="1"/>
    <n v="300"/>
    <n v="300"/>
    <n v="4.5"/>
    <n v="6"/>
  </r>
  <r>
    <x v="925"/>
    <n v="14"/>
    <n v="8"/>
    <n v="2023"/>
    <s v="Monday"/>
    <s v="August"/>
    <d v="2023-08-14T00:00:00"/>
    <x v="925"/>
    <x v="0"/>
    <x v="1"/>
    <x v="11"/>
    <x v="2"/>
    <n v="1"/>
    <n v="30"/>
    <n v="30"/>
    <n v="0.44999999999999996"/>
    <n v="0.6"/>
  </r>
  <r>
    <x v="926"/>
    <n v="24"/>
    <n v="6"/>
    <n v="2023"/>
    <s v="Saturday"/>
    <s v="June"/>
    <d v="2023-06-24T00:00:00"/>
    <x v="926"/>
    <x v="0"/>
    <x v="0"/>
    <x v="22"/>
    <x v="2"/>
    <n v="4"/>
    <n v="500"/>
    <n v="2000"/>
    <n v="30"/>
    <n v="40"/>
  </r>
  <r>
    <x v="927"/>
    <n v="5"/>
    <n v="4"/>
    <n v="2023"/>
    <s v="Wednesday"/>
    <s v="April"/>
    <d v="2023-04-05T00:00:00"/>
    <x v="927"/>
    <x v="1"/>
    <x v="0"/>
    <x v="10"/>
    <x v="1"/>
    <n v="4"/>
    <n v="300"/>
    <n v="1200"/>
    <n v="18"/>
    <n v="24"/>
  </r>
  <r>
    <x v="928"/>
    <n v="27"/>
    <n v="1"/>
    <n v="2023"/>
    <s v="Friday"/>
    <s v="January"/>
    <d v="2023-01-27T00:00:00"/>
    <x v="928"/>
    <x v="1"/>
    <x v="1"/>
    <x v="9"/>
    <x v="0"/>
    <n v="3"/>
    <n v="25"/>
    <n v="75"/>
    <n v="1.125"/>
    <n v="1.5"/>
  </r>
  <r>
    <x v="929"/>
    <n v="10"/>
    <n v="5"/>
    <n v="2023"/>
    <s v="Wednesday"/>
    <s v="May"/>
    <d v="2023-05-10T00:00:00"/>
    <x v="929"/>
    <x v="0"/>
    <x v="0"/>
    <x v="31"/>
    <x v="1"/>
    <n v="4"/>
    <n v="50"/>
    <n v="200"/>
    <n v="3"/>
    <n v="4"/>
  </r>
  <r>
    <x v="930"/>
    <n v="2"/>
    <n v="9"/>
    <n v="2023"/>
    <s v="Saturday"/>
    <s v="September"/>
    <d v="2023-09-02T00:00:00"/>
    <x v="930"/>
    <x v="0"/>
    <x v="0"/>
    <x v="4"/>
    <x v="0"/>
    <n v="4"/>
    <n v="30"/>
    <n v="120"/>
    <n v="1.7999999999999998"/>
    <n v="2.4"/>
  </r>
  <r>
    <x v="931"/>
    <n v="28"/>
    <n v="2"/>
    <n v="2023"/>
    <s v="Tuesday"/>
    <s v="February"/>
    <d v="2023-02-28T00:00:00"/>
    <x v="931"/>
    <x v="1"/>
    <x v="0"/>
    <x v="5"/>
    <x v="0"/>
    <n v="4"/>
    <n v="25"/>
    <n v="100"/>
    <n v="1.5"/>
    <n v="2"/>
  </r>
  <r>
    <x v="932"/>
    <n v="3"/>
    <n v="2"/>
    <n v="2023"/>
    <s v="Friday"/>
    <s v="February"/>
    <d v="2023-02-03T00:00:00"/>
    <x v="932"/>
    <x v="0"/>
    <x v="1"/>
    <x v="11"/>
    <x v="0"/>
    <n v="1"/>
    <n v="30"/>
    <n v="30"/>
    <n v="0.44999999999999996"/>
    <n v="0.6"/>
  </r>
  <r>
    <x v="933"/>
    <n v="25"/>
    <n v="7"/>
    <n v="2023"/>
    <s v="Tuesday"/>
    <s v="July"/>
    <d v="2023-07-25T00:00:00"/>
    <x v="933"/>
    <x v="0"/>
    <x v="0"/>
    <x v="4"/>
    <x v="0"/>
    <n v="1"/>
    <n v="500"/>
    <n v="500"/>
    <n v="7.5"/>
    <n v="10"/>
  </r>
  <r>
    <x v="934"/>
    <n v="9"/>
    <n v="9"/>
    <n v="2023"/>
    <s v="Saturday"/>
    <s v="September"/>
    <d v="2023-09-09T00:00:00"/>
    <x v="934"/>
    <x v="1"/>
    <x v="0"/>
    <x v="0"/>
    <x v="0"/>
    <n v="1"/>
    <n v="50"/>
    <n v="50"/>
    <n v="0.75"/>
    <n v="1"/>
  </r>
  <r>
    <x v="935"/>
    <n v="7"/>
    <n v="2"/>
    <n v="2023"/>
    <s v="Tuesday"/>
    <s v="February"/>
    <d v="2023-02-07T00:00:00"/>
    <x v="935"/>
    <x v="0"/>
    <x v="0"/>
    <x v="35"/>
    <x v="0"/>
    <n v="4"/>
    <n v="50"/>
    <n v="200"/>
    <n v="3"/>
    <n v="4"/>
  </r>
  <r>
    <x v="936"/>
    <n v="23"/>
    <n v="10"/>
    <n v="2023"/>
    <s v="Monday"/>
    <s v="October"/>
    <d v="2023-10-23T00:00:00"/>
    <x v="936"/>
    <x v="1"/>
    <x v="0"/>
    <x v="17"/>
    <x v="0"/>
    <n v="1"/>
    <n v="500"/>
    <n v="500"/>
    <n v="7.5"/>
    <n v="10"/>
  </r>
  <r>
    <x v="937"/>
    <n v="19"/>
    <n v="11"/>
    <n v="2023"/>
    <s v="Sunday"/>
    <s v="November"/>
    <d v="2023-11-19T00:00:00"/>
    <x v="937"/>
    <x v="0"/>
    <x v="0"/>
    <x v="19"/>
    <x v="1"/>
    <n v="4"/>
    <n v="50"/>
    <n v="200"/>
    <n v="3"/>
    <n v="4"/>
  </r>
  <r>
    <x v="938"/>
    <n v="18"/>
    <n v="12"/>
    <n v="2023"/>
    <s v="Monday"/>
    <s v="December"/>
    <d v="2023-12-18T00:00:00"/>
    <x v="938"/>
    <x v="1"/>
    <x v="0"/>
    <x v="6"/>
    <x v="2"/>
    <n v="1"/>
    <n v="300"/>
    <n v="300"/>
    <n v="4.5"/>
    <n v="6"/>
  </r>
  <r>
    <x v="939"/>
    <n v="28"/>
    <n v="1"/>
    <n v="2023"/>
    <s v="Saturday"/>
    <s v="January"/>
    <d v="2023-01-28T00:00:00"/>
    <x v="939"/>
    <x v="1"/>
    <x v="1"/>
    <x v="29"/>
    <x v="2"/>
    <n v="1"/>
    <n v="30"/>
    <n v="30"/>
    <n v="0.44999999999999996"/>
    <n v="0.6"/>
  </r>
  <r>
    <x v="940"/>
    <n v="19"/>
    <n v="3"/>
    <n v="2023"/>
    <s v="Sunday"/>
    <s v="March"/>
    <d v="2023-03-19T00:00:00"/>
    <x v="940"/>
    <x v="1"/>
    <x v="0"/>
    <x v="35"/>
    <x v="1"/>
    <n v="2"/>
    <n v="25"/>
    <n v="50"/>
    <n v="0.75"/>
    <n v="1"/>
  </r>
  <r>
    <x v="941"/>
    <n v="18"/>
    <n v="3"/>
    <n v="2023"/>
    <s v="Saturday"/>
    <s v="March"/>
    <d v="2023-03-18T00:00:00"/>
    <x v="941"/>
    <x v="0"/>
    <x v="0"/>
    <x v="25"/>
    <x v="1"/>
    <n v="3"/>
    <n v="500"/>
    <n v="1500"/>
    <n v="22.5"/>
    <n v="30"/>
  </r>
  <r>
    <x v="942"/>
    <n v="16"/>
    <n v="10"/>
    <n v="2023"/>
    <s v="Monday"/>
    <s v="October"/>
    <d v="2023-10-16T00:00:00"/>
    <x v="942"/>
    <x v="1"/>
    <x v="0"/>
    <x v="35"/>
    <x v="1"/>
    <n v="4"/>
    <n v="300"/>
    <n v="1200"/>
    <n v="18"/>
    <n v="24"/>
  </r>
  <r>
    <x v="943"/>
    <n v="5"/>
    <n v="6"/>
    <n v="2023"/>
    <s v="Monday"/>
    <s v="June"/>
    <d v="2023-06-05T00:00:00"/>
    <x v="943"/>
    <x v="0"/>
    <x v="0"/>
    <x v="24"/>
    <x v="1"/>
    <n v="2"/>
    <n v="25"/>
    <n v="50"/>
    <n v="0.75"/>
    <n v="1"/>
  </r>
  <r>
    <x v="944"/>
    <n v="13"/>
    <n v="2"/>
    <n v="2023"/>
    <s v="Monday"/>
    <s v="February"/>
    <d v="2023-02-13T00:00:00"/>
    <x v="944"/>
    <x v="0"/>
    <x v="0"/>
    <x v="4"/>
    <x v="0"/>
    <n v="1"/>
    <n v="25"/>
    <n v="25"/>
    <n v="0.375"/>
    <n v="0.5"/>
  </r>
  <r>
    <x v="945"/>
    <n v="8"/>
    <n v="5"/>
    <n v="2023"/>
    <s v="Monday"/>
    <s v="May"/>
    <d v="2023-05-08T00:00:00"/>
    <x v="945"/>
    <x v="0"/>
    <x v="0"/>
    <x v="17"/>
    <x v="2"/>
    <n v="4"/>
    <n v="500"/>
    <n v="2000"/>
    <n v="30"/>
    <n v="40"/>
  </r>
  <r>
    <x v="946"/>
    <n v="2"/>
    <n v="3"/>
    <n v="2023"/>
    <s v="Thursday"/>
    <s v="March"/>
    <d v="2023-03-02T00:00:00"/>
    <x v="946"/>
    <x v="0"/>
    <x v="0"/>
    <x v="2"/>
    <x v="0"/>
    <n v="1"/>
    <n v="300"/>
    <n v="300"/>
    <n v="4.5"/>
    <n v="6"/>
  </r>
  <r>
    <x v="947"/>
    <n v="13"/>
    <n v="10"/>
    <n v="2023"/>
    <s v="Friday"/>
    <s v="October"/>
    <d v="2023-10-13T00:00:00"/>
    <x v="947"/>
    <x v="1"/>
    <x v="1"/>
    <x v="9"/>
    <x v="2"/>
    <n v="3"/>
    <n v="25"/>
    <n v="75"/>
    <n v="1.125"/>
    <n v="1.5"/>
  </r>
  <r>
    <x v="948"/>
    <n v="2"/>
    <n v="8"/>
    <n v="2023"/>
    <s v="Wednesday"/>
    <s v="August"/>
    <d v="2023-08-02T00:00:00"/>
    <x v="948"/>
    <x v="1"/>
    <x v="0"/>
    <x v="41"/>
    <x v="2"/>
    <n v="2"/>
    <n v="25"/>
    <n v="50"/>
    <n v="0.75"/>
    <n v="1"/>
  </r>
  <r>
    <x v="949"/>
    <n v="7"/>
    <n v="11"/>
    <n v="2023"/>
    <s v="Tuesday"/>
    <s v="November"/>
    <d v="2023-11-07T00:00:00"/>
    <x v="949"/>
    <x v="0"/>
    <x v="0"/>
    <x v="32"/>
    <x v="1"/>
    <n v="3"/>
    <n v="300"/>
    <n v="900"/>
    <n v="13.5"/>
    <n v="18"/>
  </r>
  <r>
    <x v="950"/>
    <n v="2"/>
    <n v="11"/>
    <n v="2023"/>
    <s v="Thursday"/>
    <s v="November"/>
    <d v="2023-11-02T00:00:00"/>
    <x v="950"/>
    <x v="0"/>
    <x v="0"/>
    <x v="44"/>
    <x v="0"/>
    <n v="2"/>
    <n v="50"/>
    <n v="100"/>
    <n v="1.5"/>
    <n v="2"/>
  </r>
  <r>
    <x v="951"/>
    <n v="13"/>
    <n v="11"/>
    <n v="2023"/>
    <s v="Monday"/>
    <s v="November"/>
    <d v="2023-11-13T00:00:00"/>
    <x v="951"/>
    <x v="1"/>
    <x v="0"/>
    <x v="35"/>
    <x v="1"/>
    <n v="1"/>
    <n v="25"/>
    <n v="25"/>
    <n v="0.375"/>
    <n v="0.5"/>
  </r>
  <r>
    <x v="952"/>
    <n v="26"/>
    <n v="4"/>
    <n v="2023"/>
    <s v="Wednesday"/>
    <s v="April"/>
    <d v="2023-04-26T00:00:00"/>
    <x v="952"/>
    <x v="0"/>
    <x v="0"/>
    <x v="5"/>
    <x v="0"/>
    <n v="3"/>
    <n v="30"/>
    <n v="90"/>
    <n v="1.3499999999999999"/>
    <n v="1.8"/>
  </r>
  <r>
    <x v="953"/>
    <n v="25"/>
    <n v="9"/>
    <n v="2023"/>
    <s v="Monday"/>
    <s v="September"/>
    <d v="2023-09-25T00:00:00"/>
    <x v="953"/>
    <x v="1"/>
    <x v="0"/>
    <x v="2"/>
    <x v="2"/>
    <n v="3"/>
    <n v="300"/>
    <n v="900"/>
    <n v="13.5"/>
    <n v="18"/>
  </r>
  <r>
    <x v="954"/>
    <n v="14"/>
    <n v="7"/>
    <n v="2023"/>
    <s v="Friday"/>
    <s v="July"/>
    <d v="2023-07-14T00:00:00"/>
    <x v="954"/>
    <x v="0"/>
    <x v="0"/>
    <x v="26"/>
    <x v="1"/>
    <n v="1"/>
    <n v="25"/>
    <n v="25"/>
    <n v="0.375"/>
    <n v="0.5"/>
  </r>
  <r>
    <x v="955"/>
    <n v="19"/>
    <n v="8"/>
    <n v="2023"/>
    <s v="Saturday"/>
    <s v="August"/>
    <d v="2023-08-19T00:00:00"/>
    <x v="955"/>
    <x v="0"/>
    <x v="0"/>
    <x v="4"/>
    <x v="1"/>
    <n v="3"/>
    <n v="500"/>
    <n v="1500"/>
    <n v="22.5"/>
    <n v="30"/>
  </r>
  <r>
    <x v="956"/>
    <n v="15"/>
    <n v="8"/>
    <n v="2023"/>
    <s v="Tuesday"/>
    <s v="August"/>
    <d v="2023-08-15T00:00:00"/>
    <x v="956"/>
    <x v="1"/>
    <x v="0"/>
    <x v="43"/>
    <x v="2"/>
    <n v="4"/>
    <n v="30"/>
    <n v="120"/>
    <n v="1.7999999999999998"/>
    <n v="2.4"/>
  </r>
  <r>
    <x v="957"/>
    <n v="2"/>
    <n v="6"/>
    <n v="2023"/>
    <s v="Friday"/>
    <s v="June"/>
    <d v="2023-06-02T00:00:00"/>
    <x v="957"/>
    <x v="0"/>
    <x v="0"/>
    <x v="17"/>
    <x v="2"/>
    <n v="2"/>
    <n v="25"/>
    <n v="50"/>
    <n v="0.75"/>
    <n v="1"/>
  </r>
  <r>
    <x v="958"/>
    <n v="29"/>
    <n v="10"/>
    <n v="2023"/>
    <s v="Sunday"/>
    <s v="October"/>
    <d v="2023-10-29T00:00:00"/>
    <x v="958"/>
    <x v="1"/>
    <x v="0"/>
    <x v="13"/>
    <x v="2"/>
    <n v="2"/>
    <n v="30"/>
    <n v="60"/>
    <n v="0.89999999999999991"/>
    <n v="1.2"/>
  </r>
  <r>
    <x v="959"/>
    <n v="8"/>
    <n v="8"/>
    <n v="2023"/>
    <s v="Tuesday"/>
    <s v="August"/>
    <d v="2023-08-08T00:00:00"/>
    <x v="959"/>
    <x v="0"/>
    <x v="0"/>
    <x v="42"/>
    <x v="1"/>
    <n v="2"/>
    <n v="30"/>
    <n v="60"/>
    <n v="0.89999999999999991"/>
    <n v="1.2"/>
  </r>
  <r>
    <x v="960"/>
    <n v="6"/>
    <n v="6"/>
    <n v="2023"/>
    <s v="Tuesday"/>
    <s v="June"/>
    <d v="2023-06-06T00:00:00"/>
    <x v="960"/>
    <x v="0"/>
    <x v="0"/>
    <x v="45"/>
    <x v="0"/>
    <n v="4"/>
    <n v="50"/>
    <n v="200"/>
    <n v="3"/>
    <n v="4"/>
  </r>
  <r>
    <x v="961"/>
    <n v="19"/>
    <n v="10"/>
    <n v="2023"/>
    <s v="Thursday"/>
    <s v="October"/>
    <d v="2023-10-19T00:00:00"/>
    <x v="961"/>
    <x v="0"/>
    <x v="0"/>
    <x v="24"/>
    <x v="1"/>
    <n v="2"/>
    <n v="30"/>
    <n v="60"/>
    <n v="0.89999999999999991"/>
    <n v="1.2"/>
  </r>
  <r>
    <x v="962"/>
    <n v="14"/>
    <n v="11"/>
    <n v="2023"/>
    <s v="Tuesday"/>
    <s v="November"/>
    <d v="2023-11-14T00:00:00"/>
    <x v="962"/>
    <x v="1"/>
    <x v="0"/>
    <x v="28"/>
    <x v="0"/>
    <n v="1"/>
    <n v="50"/>
    <n v="50"/>
    <n v="0.75"/>
    <n v="1"/>
  </r>
  <r>
    <x v="963"/>
    <n v="31"/>
    <n v="1"/>
    <n v="2023"/>
    <s v="Tuesday"/>
    <s v="January"/>
    <d v="2023-01-31T00:00:00"/>
    <x v="963"/>
    <x v="0"/>
    <x v="1"/>
    <x v="46"/>
    <x v="1"/>
    <n v="3"/>
    <n v="300"/>
    <n v="900"/>
    <n v="13.5"/>
    <n v="18"/>
  </r>
  <r>
    <x v="964"/>
    <n v="9"/>
    <n v="11"/>
    <n v="2023"/>
    <s v="Thursday"/>
    <s v="November"/>
    <d v="2023-11-09T00:00:00"/>
    <x v="964"/>
    <x v="0"/>
    <x v="1"/>
    <x v="11"/>
    <x v="1"/>
    <n v="4"/>
    <n v="50"/>
    <n v="200"/>
    <n v="3"/>
    <n v="4"/>
  </r>
  <r>
    <x v="965"/>
    <n v="20"/>
    <n v="2"/>
    <n v="2023"/>
    <s v="Monday"/>
    <s v="February"/>
    <d v="2023-02-20T00:00:00"/>
    <x v="965"/>
    <x v="0"/>
    <x v="0"/>
    <x v="43"/>
    <x v="2"/>
    <n v="2"/>
    <n v="500"/>
    <n v="1000"/>
    <n v="15"/>
    <n v="20"/>
  </r>
  <r>
    <x v="966"/>
    <n v="17"/>
    <n v="4"/>
    <n v="2023"/>
    <s v="Monday"/>
    <s v="April"/>
    <d v="2023-04-17T00:00:00"/>
    <x v="966"/>
    <x v="0"/>
    <x v="0"/>
    <x v="17"/>
    <x v="0"/>
    <n v="1"/>
    <n v="25"/>
    <n v="25"/>
    <n v="0.375"/>
    <n v="0.5"/>
  </r>
  <r>
    <x v="967"/>
    <n v="17"/>
    <n v="11"/>
    <n v="2023"/>
    <s v="Friday"/>
    <s v="November"/>
    <d v="2023-11-17T00:00:00"/>
    <x v="967"/>
    <x v="1"/>
    <x v="0"/>
    <x v="27"/>
    <x v="1"/>
    <n v="3"/>
    <n v="300"/>
    <n v="900"/>
    <n v="13.5"/>
    <n v="18"/>
  </r>
  <r>
    <x v="968"/>
    <n v="19"/>
    <n v="4"/>
    <n v="2023"/>
    <s v="Wednesday"/>
    <s v="April"/>
    <d v="2023-04-19T00:00:00"/>
    <x v="968"/>
    <x v="1"/>
    <x v="0"/>
    <x v="30"/>
    <x v="1"/>
    <n v="3"/>
    <n v="300"/>
    <n v="900"/>
    <n v="13.5"/>
    <n v="18"/>
  </r>
  <r>
    <x v="969"/>
    <n v="16"/>
    <n v="5"/>
    <n v="2023"/>
    <s v="Tuesday"/>
    <s v="May"/>
    <d v="2023-05-16T00:00:00"/>
    <x v="969"/>
    <x v="0"/>
    <x v="0"/>
    <x v="42"/>
    <x v="2"/>
    <n v="4"/>
    <n v="500"/>
    <n v="2000"/>
    <n v="30"/>
    <n v="40"/>
  </r>
  <r>
    <x v="970"/>
    <n v="5"/>
    <n v="12"/>
    <n v="2023"/>
    <s v="Tuesday"/>
    <s v="December"/>
    <d v="2023-12-05T00:00:00"/>
    <x v="970"/>
    <x v="1"/>
    <x v="1"/>
    <x v="15"/>
    <x v="2"/>
    <n v="4"/>
    <n v="50"/>
    <n v="200"/>
    <n v="3"/>
    <n v="4"/>
  </r>
  <r>
    <x v="971"/>
    <n v="11"/>
    <n v="2"/>
    <n v="2023"/>
    <s v="Saturday"/>
    <s v="February"/>
    <d v="2023-02-11T00:00:00"/>
    <x v="971"/>
    <x v="0"/>
    <x v="0"/>
    <x v="19"/>
    <x v="0"/>
    <n v="4"/>
    <n v="25"/>
    <n v="100"/>
    <n v="1.5"/>
    <n v="2"/>
  </r>
  <r>
    <x v="972"/>
    <n v="22"/>
    <n v="3"/>
    <n v="2023"/>
    <s v="Wednesday"/>
    <s v="March"/>
    <d v="2023-03-22T00:00:00"/>
    <x v="972"/>
    <x v="0"/>
    <x v="0"/>
    <x v="43"/>
    <x v="1"/>
    <n v="1"/>
    <n v="50"/>
    <n v="50"/>
    <n v="0.75"/>
    <n v="1"/>
  </r>
  <r>
    <x v="973"/>
    <n v="3"/>
    <n v="5"/>
    <n v="2023"/>
    <s v="Wednesday"/>
    <s v="May"/>
    <d v="2023-05-03T00:00:00"/>
    <x v="973"/>
    <x v="0"/>
    <x v="0"/>
    <x v="16"/>
    <x v="0"/>
    <n v="1"/>
    <n v="30"/>
    <n v="30"/>
    <n v="0.44999999999999996"/>
    <n v="0.6"/>
  </r>
  <r>
    <x v="974"/>
    <n v="30"/>
    <n v="3"/>
    <n v="2023"/>
    <s v="Thursday"/>
    <s v="March"/>
    <d v="2023-03-30T00:00:00"/>
    <x v="974"/>
    <x v="1"/>
    <x v="0"/>
    <x v="37"/>
    <x v="1"/>
    <n v="4"/>
    <n v="50"/>
    <n v="200"/>
    <n v="3"/>
    <n v="4"/>
  </r>
  <r>
    <x v="975"/>
    <n v="10"/>
    <n v="10"/>
    <n v="2023"/>
    <s v="Tuesday"/>
    <s v="October"/>
    <d v="2023-10-10T00:00:00"/>
    <x v="975"/>
    <x v="1"/>
    <x v="0"/>
    <x v="27"/>
    <x v="0"/>
    <n v="2"/>
    <n v="300"/>
    <n v="600"/>
    <n v="9"/>
    <n v="12"/>
  </r>
  <r>
    <x v="976"/>
    <n v="8"/>
    <n v="2"/>
    <n v="2023"/>
    <s v="Wednesday"/>
    <s v="February"/>
    <d v="2023-02-08T00:00:00"/>
    <x v="976"/>
    <x v="1"/>
    <x v="0"/>
    <x v="10"/>
    <x v="2"/>
    <n v="3"/>
    <n v="25"/>
    <n v="75"/>
    <n v="1.125"/>
    <n v="1.5"/>
  </r>
  <r>
    <x v="977"/>
    <n v="22"/>
    <n v="3"/>
    <n v="2023"/>
    <s v="Wednesday"/>
    <s v="March"/>
    <d v="2023-03-22T00:00:00"/>
    <x v="977"/>
    <x v="1"/>
    <x v="0"/>
    <x v="45"/>
    <x v="1"/>
    <n v="3"/>
    <n v="50"/>
    <n v="150"/>
    <n v="2.25"/>
    <n v="3"/>
  </r>
  <r>
    <x v="978"/>
    <n v="2"/>
    <n v="1"/>
    <n v="2023"/>
    <s v="Monday"/>
    <s v="January"/>
    <d v="2023-01-02T00:00:00"/>
    <x v="978"/>
    <x v="1"/>
    <x v="1"/>
    <x v="14"/>
    <x v="0"/>
    <n v="1"/>
    <n v="25"/>
    <n v="25"/>
    <n v="0.375"/>
    <n v="0.5"/>
  </r>
  <r>
    <x v="979"/>
    <n v="29"/>
    <n v="7"/>
    <n v="2023"/>
    <s v="Saturday"/>
    <s v="July"/>
    <d v="2023-07-29T00:00:00"/>
    <x v="979"/>
    <x v="1"/>
    <x v="0"/>
    <x v="33"/>
    <x v="2"/>
    <n v="3"/>
    <n v="25"/>
    <n v="75"/>
    <n v="1.125"/>
    <n v="1.5"/>
  </r>
  <r>
    <x v="980"/>
    <n v="19"/>
    <n v="8"/>
    <n v="2023"/>
    <s v="Saturday"/>
    <s v="August"/>
    <d v="2023-08-19T00:00:00"/>
    <x v="980"/>
    <x v="1"/>
    <x v="0"/>
    <x v="4"/>
    <x v="2"/>
    <n v="2"/>
    <n v="30"/>
    <n v="60"/>
    <n v="0.89999999999999991"/>
    <n v="1.2"/>
  </r>
  <r>
    <x v="981"/>
    <n v="19"/>
    <n v="12"/>
    <n v="2023"/>
    <s v="Tuesday"/>
    <s v="December"/>
    <d v="2023-12-19T00:00:00"/>
    <x v="981"/>
    <x v="1"/>
    <x v="0"/>
    <x v="6"/>
    <x v="0"/>
    <n v="3"/>
    <n v="30"/>
    <n v="90"/>
    <n v="1.3499999999999999"/>
    <n v="1.8"/>
  </r>
  <r>
    <x v="982"/>
    <n v="1"/>
    <n v="11"/>
    <n v="2023"/>
    <s v="Wednesday"/>
    <s v="November"/>
    <d v="2023-11-01T00:00:00"/>
    <x v="982"/>
    <x v="1"/>
    <x v="1"/>
    <x v="38"/>
    <x v="1"/>
    <n v="1"/>
    <n v="300"/>
    <n v="300"/>
    <n v="4.5"/>
    <n v="6"/>
  </r>
  <r>
    <x v="983"/>
    <n v="29"/>
    <n v="8"/>
    <n v="2023"/>
    <s v="Tuesday"/>
    <s v="August"/>
    <d v="2023-08-29T00:00:00"/>
    <x v="983"/>
    <x v="0"/>
    <x v="0"/>
    <x v="37"/>
    <x v="1"/>
    <n v="1"/>
    <n v="500"/>
    <n v="500"/>
    <n v="7.5"/>
    <n v="10"/>
  </r>
  <r>
    <x v="984"/>
    <n v="30"/>
    <n v="5"/>
    <n v="2023"/>
    <s v="Tuesday"/>
    <s v="May"/>
    <d v="2023-05-30T00:00:00"/>
    <x v="984"/>
    <x v="1"/>
    <x v="1"/>
    <x v="14"/>
    <x v="2"/>
    <n v="2"/>
    <n v="25"/>
    <n v="50"/>
    <n v="0.75"/>
    <n v="1"/>
  </r>
  <r>
    <x v="985"/>
    <n v="17"/>
    <n v="1"/>
    <n v="2023"/>
    <s v="Tuesday"/>
    <s v="January"/>
    <d v="2023-01-17T00:00:00"/>
    <x v="985"/>
    <x v="1"/>
    <x v="0"/>
    <x v="19"/>
    <x v="1"/>
    <n v="2"/>
    <n v="500"/>
    <n v="1000"/>
    <n v="15"/>
    <n v="20"/>
  </r>
  <r>
    <x v="986"/>
    <n v="29"/>
    <n v="4"/>
    <n v="2023"/>
    <s v="Saturday"/>
    <s v="April"/>
    <d v="2023-04-29T00:00:00"/>
    <x v="986"/>
    <x v="1"/>
    <x v="0"/>
    <x v="4"/>
    <x v="1"/>
    <n v="3"/>
    <n v="300"/>
    <n v="900"/>
    <n v="13.5"/>
    <n v="18"/>
  </r>
  <r>
    <x v="987"/>
    <n v="28"/>
    <n v="5"/>
    <n v="2023"/>
    <s v="Sunday"/>
    <s v="May"/>
    <d v="2023-05-28T00:00:00"/>
    <x v="987"/>
    <x v="1"/>
    <x v="0"/>
    <x v="7"/>
    <x v="1"/>
    <n v="3"/>
    <n v="25"/>
    <n v="75"/>
    <n v="1.125"/>
    <n v="1.5"/>
  </r>
  <r>
    <x v="988"/>
    <n v="28"/>
    <n v="12"/>
    <n v="2023"/>
    <s v="Thursday"/>
    <s v="December"/>
    <d v="2023-12-28T00:00:00"/>
    <x v="988"/>
    <x v="1"/>
    <x v="0"/>
    <x v="24"/>
    <x v="2"/>
    <n v="1"/>
    <n v="25"/>
    <n v="25"/>
    <n v="0.375"/>
    <n v="0.5"/>
  </r>
  <r>
    <x v="989"/>
    <n v="25"/>
    <n v="5"/>
    <n v="2023"/>
    <s v="Thursday"/>
    <s v="May"/>
    <d v="2023-05-25T00:00:00"/>
    <x v="989"/>
    <x v="1"/>
    <x v="0"/>
    <x v="26"/>
    <x v="0"/>
    <n v="2"/>
    <n v="500"/>
    <n v="1000"/>
    <n v="15"/>
    <n v="20"/>
  </r>
  <r>
    <x v="990"/>
    <n v="26"/>
    <n v="12"/>
    <n v="2023"/>
    <s v="Tuesday"/>
    <s v="December"/>
    <d v="2023-12-26T00:00:00"/>
    <x v="990"/>
    <x v="1"/>
    <x v="0"/>
    <x v="0"/>
    <x v="1"/>
    <n v="2"/>
    <n v="50"/>
    <n v="100"/>
    <n v="1.5"/>
    <n v="2"/>
  </r>
  <r>
    <x v="991"/>
    <n v="21"/>
    <n v="8"/>
    <n v="2023"/>
    <s v="Monday"/>
    <s v="August"/>
    <d v="2023-08-21T00:00:00"/>
    <x v="991"/>
    <x v="1"/>
    <x v="0"/>
    <x v="35"/>
    <x v="2"/>
    <n v="2"/>
    <n v="30"/>
    <n v="60"/>
    <n v="0.89999999999999991"/>
    <n v="1.2"/>
  </r>
  <r>
    <x v="992"/>
    <n v="6"/>
    <n v="2"/>
    <n v="2023"/>
    <s v="Monday"/>
    <s v="February"/>
    <d v="2023-02-06T00:00:00"/>
    <x v="992"/>
    <x v="1"/>
    <x v="0"/>
    <x v="27"/>
    <x v="2"/>
    <n v="3"/>
    <n v="50"/>
    <n v="150"/>
    <n v="2.25"/>
    <n v="3"/>
  </r>
  <r>
    <x v="993"/>
    <n v="18"/>
    <n v="12"/>
    <n v="2023"/>
    <s v="Monday"/>
    <s v="December"/>
    <d v="2023-12-18T00:00:00"/>
    <x v="993"/>
    <x v="1"/>
    <x v="0"/>
    <x v="25"/>
    <x v="0"/>
    <n v="2"/>
    <n v="500"/>
    <n v="1000"/>
    <n v="15"/>
    <n v="20"/>
  </r>
  <r>
    <x v="994"/>
    <n v="30"/>
    <n v="4"/>
    <n v="2023"/>
    <s v="Sunday"/>
    <s v="April"/>
    <d v="2023-04-30T00:00:00"/>
    <x v="994"/>
    <x v="1"/>
    <x v="0"/>
    <x v="41"/>
    <x v="1"/>
    <n v="1"/>
    <n v="30"/>
    <n v="30"/>
    <n v="0.44999999999999996"/>
    <n v="0.6"/>
  </r>
  <r>
    <x v="995"/>
    <n v="16"/>
    <n v="5"/>
    <n v="2023"/>
    <s v="Tuesday"/>
    <s v="May"/>
    <d v="2023-05-16T00:00:00"/>
    <x v="995"/>
    <x v="0"/>
    <x v="0"/>
    <x v="17"/>
    <x v="1"/>
    <n v="1"/>
    <n v="50"/>
    <n v="50"/>
    <n v="0.75"/>
    <n v="1"/>
  </r>
  <r>
    <x v="996"/>
    <n v="17"/>
    <n v="11"/>
    <n v="2023"/>
    <s v="Friday"/>
    <s v="November"/>
    <d v="2023-11-17T00:00:00"/>
    <x v="996"/>
    <x v="0"/>
    <x v="0"/>
    <x v="8"/>
    <x v="0"/>
    <n v="3"/>
    <n v="30"/>
    <n v="90"/>
    <n v="1.3499999999999999"/>
    <n v="1.8"/>
  </r>
  <r>
    <x v="997"/>
    <n v="29"/>
    <n v="10"/>
    <n v="2023"/>
    <s v="Sunday"/>
    <s v="October"/>
    <d v="2023-10-29T00:00:00"/>
    <x v="997"/>
    <x v="1"/>
    <x v="1"/>
    <x v="9"/>
    <x v="0"/>
    <n v="4"/>
    <n v="25"/>
    <n v="100"/>
    <n v="1.5"/>
    <n v="2"/>
  </r>
  <r>
    <x v="998"/>
    <n v="5"/>
    <n v="12"/>
    <n v="2023"/>
    <s v="Tuesday"/>
    <s v="December"/>
    <d v="2023-12-05T00:00:00"/>
    <x v="998"/>
    <x v="1"/>
    <x v="0"/>
    <x v="32"/>
    <x v="2"/>
    <n v="3"/>
    <n v="50"/>
    <n v="150"/>
    <n v="2.25"/>
    <n v="3"/>
  </r>
  <r>
    <x v="999"/>
    <n v="12"/>
    <n v="4"/>
    <n v="2023"/>
    <s v="Wednesday"/>
    <s v="April"/>
    <d v="2023-04-12T00:00:00"/>
    <x v="999"/>
    <x v="0"/>
    <x v="0"/>
    <x v="16"/>
    <x v="2"/>
    <n v="4"/>
    <n v="30"/>
    <n v="120"/>
    <n v="1.7999999999999998"/>
    <n v="2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2FA781-8AA3-4AC3-BCB7-766B9804ED1E}" name="PivotTable1" cacheId="24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9">
  <location ref="A4:D9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>
      <items count="4">
        <item sd="0" x="0"/>
        <item sd="0" x="1"/>
        <item sd="0"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Total sales" fld="14" showDataAs="percentOfTotal" baseField="0" baseItem="0" numFmtId="10"/>
  </dataFields>
  <formats count="6">
    <format dxfId="2">
      <pivotArea outline="0" fieldPosition="0">
        <references count="1">
          <reference field="11" count="1" selected="0">
            <x v="0"/>
          </reference>
        </references>
      </pivotArea>
    </format>
    <format dxfId="3">
      <pivotArea outline="0" fieldPosition="0">
        <references count="1">
          <reference field="11" count="1" selected="0">
            <x v="1"/>
          </reference>
        </references>
      </pivotArea>
    </format>
    <format dxfId="4">
      <pivotArea outline="0" fieldPosition="0">
        <references count="1">
          <reference field="11" count="1" selected="0">
            <x v="2"/>
          </reference>
        </references>
      </pivotArea>
    </format>
    <format dxfId="5">
      <pivotArea grandRow="1" outline="0" collapsedLevelsAreSubtotals="1" fieldPosition="0"/>
    </format>
    <format dxfId="6">
      <pivotArea outline="0" fieldPosition="0">
        <references count="2">
          <reference field="8" count="1" selected="0">
            <x v="0"/>
          </reference>
          <reference field="11" count="1" selected="0">
            <x v="2"/>
          </reference>
        </references>
      </pivotArea>
    </format>
    <format dxfId="7">
      <pivotArea outline="0" collapsedLevelsAreSubtotals="1" fieldPosition="0"/>
    </format>
  </formats>
  <chartFormats count="1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7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8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8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B8172-C672-4208-980F-4E9A94640091}" name="PivotTable2" cacheId="24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8" firstHeaderRow="1" firstDataRow="2" firstDataCol="1"/>
  <pivotFields count="17">
    <pivotField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outline="0" showAll="0">
      <items count="3">
        <item x="1"/>
        <item x="0"/>
        <item t="default"/>
      </items>
    </pivotField>
    <pivotField name="Generation" axis="axisCol" compact="0" outline="0" showAll="0">
      <items count="3">
        <item x="0"/>
        <item x="1"/>
        <item t="default"/>
      </items>
    </pivotField>
    <pivotField compact="0" outline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Sum of Total sales" fld="14" baseField="0" baseItem="0"/>
  </dataFields>
  <formats count="1">
    <format dxfId="1">
      <pivotArea grandRow="1" grandCol="1"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CD85A-6268-487A-B95E-D359D8FB6998}">
  <dimension ref="A4:D9"/>
  <sheetViews>
    <sheetView workbookViewId="0">
      <selection activeCell="A4" sqref="A4:D10"/>
    </sheetView>
  </sheetViews>
  <sheetFormatPr defaultRowHeight="15.75"/>
  <cols>
    <col min="1" max="1" width="18.375" bestFit="1" customWidth="1"/>
    <col min="2" max="2" width="10" bestFit="1" customWidth="1"/>
    <col min="3" max="3" width="7" bestFit="1" customWidth="1"/>
    <col min="4" max="5" width="10.75" bestFit="1" customWidth="1"/>
    <col min="6" max="6" width="11.25" bestFit="1" customWidth="1"/>
    <col min="7" max="7" width="9.875" bestFit="1" customWidth="1"/>
    <col min="8" max="8" width="10.75" bestFit="1" customWidth="1"/>
  </cols>
  <sheetData>
    <row r="4" spans="1:4">
      <c r="A4" s="13" t="s">
        <v>0</v>
      </c>
      <c r="B4" s="13" t="s">
        <v>1</v>
      </c>
    </row>
    <row r="5" spans="1:4">
      <c r="A5" s="13" t="s">
        <v>2</v>
      </c>
      <c r="B5" t="s">
        <v>3</v>
      </c>
      <c r="C5" t="s">
        <v>4</v>
      </c>
      <c r="D5" t="s">
        <v>5</v>
      </c>
    </row>
    <row r="6" spans="1:4">
      <c r="A6" t="s">
        <v>6</v>
      </c>
      <c r="B6" s="11">
        <v>0.16410087719298247</v>
      </c>
      <c r="C6" s="11">
        <v>0.15062500000000001</v>
      </c>
      <c r="D6" s="11">
        <v>0.31472587719298245</v>
      </c>
    </row>
    <row r="7" spans="1:4">
      <c r="A7" t="s">
        <v>7</v>
      </c>
      <c r="B7" s="11">
        <v>0.17823464912280701</v>
      </c>
      <c r="C7" s="11">
        <v>0.16294956140350877</v>
      </c>
      <c r="D7" s="11">
        <v>0.34118421052631581</v>
      </c>
    </row>
    <row r="8" spans="1:4">
      <c r="A8" t="s">
        <v>8</v>
      </c>
      <c r="B8" s="11">
        <v>0.16827850877192982</v>
      </c>
      <c r="C8" s="11">
        <v>0.17581140350877192</v>
      </c>
      <c r="D8" s="11">
        <v>0.34408991228070174</v>
      </c>
    </row>
    <row r="9" spans="1:4">
      <c r="A9" t="s">
        <v>5</v>
      </c>
      <c r="B9" s="11">
        <v>0.5106140350877193</v>
      </c>
      <c r="C9" s="11">
        <v>0.4893859649122807</v>
      </c>
      <c r="D9" s="11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D3AE-C44B-4FAB-B28A-DED8803E8978}">
  <dimension ref="A1"/>
  <sheetViews>
    <sheetView workbookViewId="0">
      <selection activeCell="A2" sqref="A2"/>
    </sheetView>
  </sheetViews>
  <sheetFormatPr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48CE6-C56C-4AB5-95D6-D21ECADBFDCE}">
  <dimension ref="A3:D8"/>
  <sheetViews>
    <sheetView workbookViewId="0">
      <selection activeCell="B10" sqref="B10"/>
    </sheetView>
  </sheetViews>
  <sheetFormatPr defaultRowHeight="15.75"/>
  <cols>
    <col min="1" max="1" width="18.375" bestFit="1" customWidth="1"/>
    <col min="2" max="2" width="13.25" bestFit="1" customWidth="1"/>
    <col min="3" max="3" width="11.25" bestFit="1" customWidth="1"/>
    <col min="4" max="5" width="12.125" bestFit="1" customWidth="1"/>
    <col min="6" max="7" width="6.125" bestFit="1" customWidth="1"/>
    <col min="8" max="8" width="5" bestFit="1" customWidth="1"/>
    <col min="9" max="10" width="6.125" bestFit="1" customWidth="1"/>
    <col min="11" max="14" width="5" bestFit="1" customWidth="1"/>
    <col min="15" max="15" width="6.125" bestFit="1" customWidth="1"/>
    <col min="16" max="17" width="5" bestFit="1" customWidth="1"/>
    <col min="18" max="19" width="6.125" bestFit="1" customWidth="1"/>
    <col min="20" max="22" width="5" bestFit="1" customWidth="1"/>
    <col min="23" max="23" width="6.125" bestFit="1" customWidth="1"/>
    <col min="24" max="25" width="5" bestFit="1" customWidth="1"/>
    <col min="26" max="26" width="6.125" bestFit="1" customWidth="1"/>
    <col min="27" max="31" width="5" bestFit="1" customWidth="1"/>
    <col min="32" max="32" width="6.125" bestFit="1" customWidth="1"/>
    <col min="33" max="36" width="5" bestFit="1" customWidth="1"/>
    <col min="37" max="37" width="10.25" bestFit="1" customWidth="1"/>
    <col min="38" max="38" width="12.875" bestFit="1" customWidth="1"/>
    <col min="39" max="39" width="6.125" bestFit="1" customWidth="1"/>
    <col min="40" max="40" width="5" bestFit="1" customWidth="1"/>
    <col min="41" max="42" width="6.125" bestFit="1" customWidth="1"/>
    <col min="43" max="45" width="5" bestFit="1" customWidth="1"/>
    <col min="46" max="46" width="6.125" bestFit="1" customWidth="1"/>
    <col min="47" max="49" width="5" bestFit="1" customWidth="1"/>
    <col min="50" max="50" width="16" bestFit="1" customWidth="1"/>
    <col min="51" max="51" width="12.125" bestFit="1" customWidth="1"/>
    <col min="52" max="52" width="11.25" bestFit="1" customWidth="1"/>
    <col min="53" max="53" width="7.75" bestFit="1" customWidth="1"/>
    <col min="54" max="54" width="6.5" bestFit="1" customWidth="1"/>
    <col min="55" max="55" width="7.75" bestFit="1" customWidth="1"/>
    <col min="56" max="56" width="6.5" bestFit="1" customWidth="1"/>
    <col min="57" max="57" width="7.75" bestFit="1" customWidth="1"/>
    <col min="58" max="58" width="6.5" bestFit="1" customWidth="1"/>
    <col min="59" max="59" width="7.75" bestFit="1" customWidth="1"/>
    <col min="60" max="60" width="6.5" bestFit="1" customWidth="1"/>
    <col min="61" max="61" width="7.75" bestFit="1" customWidth="1"/>
    <col min="62" max="62" width="6.5" bestFit="1" customWidth="1"/>
    <col min="63" max="63" width="7.75" bestFit="1" customWidth="1"/>
    <col min="64" max="64" width="6.5" bestFit="1" customWidth="1"/>
    <col min="65" max="65" width="7.75" bestFit="1" customWidth="1"/>
    <col min="66" max="66" width="6.5" bestFit="1" customWidth="1"/>
    <col min="67" max="67" width="7.75" bestFit="1" customWidth="1"/>
    <col min="68" max="68" width="6.5" bestFit="1" customWidth="1"/>
    <col min="69" max="69" width="7.75" bestFit="1" customWidth="1"/>
    <col min="70" max="70" width="6.5" bestFit="1" customWidth="1"/>
    <col min="71" max="71" width="7.75" bestFit="1" customWidth="1"/>
    <col min="72" max="72" width="6.5" bestFit="1" customWidth="1"/>
    <col min="73" max="73" width="7.75" bestFit="1" customWidth="1"/>
    <col min="74" max="74" width="11.25" bestFit="1" customWidth="1"/>
    <col min="75" max="75" width="7.75" bestFit="1" customWidth="1"/>
    <col min="76" max="76" width="6.5" bestFit="1" customWidth="1"/>
    <col min="77" max="77" width="7.75" bestFit="1" customWidth="1"/>
    <col min="78" max="78" width="11.25" bestFit="1" customWidth="1"/>
    <col min="79" max="79" width="7.75" bestFit="1" customWidth="1"/>
    <col min="80" max="80" width="6.5" bestFit="1" customWidth="1"/>
    <col min="81" max="81" width="7.75" bestFit="1" customWidth="1"/>
    <col min="82" max="82" width="6.5" bestFit="1" customWidth="1"/>
    <col min="83" max="83" width="7.75" bestFit="1" customWidth="1"/>
    <col min="84" max="84" width="11.25" bestFit="1" customWidth="1"/>
    <col min="85" max="85" width="7.75" bestFit="1" customWidth="1"/>
    <col min="86" max="86" width="6.5" bestFit="1" customWidth="1"/>
    <col min="87" max="87" width="7.75" bestFit="1" customWidth="1"/>
    <col min="88" max="88" width="11.25" bestFit="1" customWidth="1"/>
    <col min="89" max="89" width="7.75" bestFit="1" customWidth="1"/>
    <col min="90" max="90" width="6.5" bestFit="1" customWidth="1"/>
    <col min="91" max="91" width="7.75" bestFit="1" customWidth="1"/>
    <col min="92" max="92" width="11.25" bestFit="1" customWidth="1"/>
    <col min="93" max="93" width="7.75" bestFit="1" customWidth="1"/>
    <col min="94" max="94" width="6.5" bestFit="1" customWidth="1"/>
    <col min="95" max="95" width="7.75" bestFit="1" customWidth="1"/>
    <col min="96" max="96" width="6.5" bestFit="1" customWidth="1"/>
    <col min="97" max="97" width="7.75" bestFit="1" customWidth="1"/>
    <col min="98" max="98" width="6.5" bestFit="1" customWidth="1"/>
    <col min="99" max="99" width="7.75" bestFit="1" customWidth="1"/>
    <col min="100" max="100" width="11.25" bestFit="1" customWidth="1"/>
    <col min="101" max="101" width="7.75" bestFit="1" customWidth="1"/>
    <col min="102" max="102" width="11.25" bestFit="1" customWidth="1"/>
    <col min="103" max="103" width="7.75" bestFit="1" customWidth="1"/>
    <col min="104" max="104" width="6.5" bestFit="1" customWidth="1"/>
    <col min="105" max="105" width="7.75" bestFit="1" customWidth="1"/>
    <col min="106" max="106" width="6.5" bestFit="1" customWidth="1"/>
    <col min="107" max="107" width="7.75" bestFit="1" customWidth="1"/>
    <col min="108" max="108" width="6.5" bestFit="1" customWidth="1"/>
    <col min="109" max="109" width="7.75" bestFit="1" customWidth="1"/>
    <col min="110" max="110" width="6.5" bestFit="1" customWidth="1"/>
    <col min="111" max="111" width="7.75" bestFit="1" customWidth="1"/>
    <col min="112" max="112" width="11.25" bestFit="1" customWidth="1"/>
    <col min="113" max="113" width="7.75" bestFit="1" customWidth="1"/>
    <col min="114" max="114" width="6.5" bestFit="1" customWidth="1"/>
    <col min="115" max="115" width="7.75" bestFit="1" customWidth="1"/>
    <col min="116" max="116" width="11.25" bestFit="1" customWidth="1"/>
    <col min="117" max="117" width="7.75" bestFit="1" customWidth="1"/>
    <col min="118" max="118" width="6.5" bestFit="1" customWidth="1"/>
    <col min="119" max="119" width="7.75" bestFit="1" customWidth="1"/>
    <col min="120" max="120" width="6.5" bestFit="1" customWidth="1"/>
    <col min="121" max="121" width="7.75" bestFit="1" customWidth="1"/>
    <col min="122" max="122" width="11.25" bestFit="1" customWidth="1"/>
    <col min="123" max="123" width="7.75" bestFit="1" customWidth="1"/>
    <col min="124" max="124" width="11.25" bestFit="1" customWidth="1"/>
    <col min="125" max="125" width="7.75" bestFit="1" customWidth="1"/>
    <col min="126" max="126" width="6.5" bestFit="1" customWidth="1"/>
    <col min="127" max="127" width="7.75" bestFit="1" customWidth="1"/>
    <col min="128" max="128" width="6.5" bestFit="1" customWidth="1"/>
    <col min="129" max="129" width="7.75" bestFit="1" customWidth="1"/>
    <col min="130" max="130" width="6.5" bestFit="1" customWidth="1"/>
    <col min="131" max="131" width="7.75" bestFit="1" customWidth="1"/>
    <col min="132" max="132" width="6.5" bestFit="1" customWidth="1"/>
    <col min="133" max="133" width="7.75" bestFit="1" customWidth="1"/>
    <col min="134" max="134" width="6.5" bestFit="1" customWidth="1"/>
    <col min="135" max="135" width="7.75" bestFit="1" customWidth="1"/>
    <col min="136" max="136" width="11.25" bestFit="1" customWidth="1"/>
    <col min="137" max="137" width="7.75" bestFit="1" customWidth="1"/>
    <col min="138" max="138" width="6.5" bestFit="1" customWidth="1"/>
    <col min="139" max="139" width="7.75" bestFit="1" customWidth="1"/>
    <col min="140" max="140" width="6.5" bestFit="1" customWidth="1"/>
    <col min="141" max="141" width="7.75" bestFit="1" customWidth="1"/>
    <col min="142" max="142" width="6.5" bestFit="1" customWidth="1"/>
    <col min="143" max="143" width="7.75" bestFit="1" customWidth="1"/>
    <col min="144" max="144" width="11.25" bestFit="1" customWidth="1"/>
    <col min="145" max="145" width="7.75" bestFit="1" customWidth="1"/>
    <col min="146" max="146" width="11.25" bestFit="1" customWidth="1"/>
    <col min="147" max="147" width="7.75" bestFit="1" customWidth="1"/>
    <col min="148" max="148" width="11.25" bestFit="1" customWidth="1"/>
    <col min="149" max="149" width="7.75" bestFit="1" customWidth="1"/>
    <col min="150" max="150" width="6.5" bestFit="1" customWidth="1"/>
    <col min="151" max="151" width="7.75" bestFit="1" customWidth="1"/>
    <col min="152" max="152" width="11.25" bestFit="1" customWidth="1"/>
    <col min="153" max="153" width="7.75" bestFit="1" customWidth="1"/>
    <col min="154" max="154" width="6.5" bestFit="1" customWidth="1"/>
    <col min="155" max="155" width="7.75" bestFit="1" customWidth="1"/>
    <col min="156" max="156" width="6.5" bestFit="1" customWidth="1"/>
    <col min="157" max="157" width="7.75" bestFit="1" customWidth="1"/>
    <col min="158" max="158" width="6.5" bestFit="1" customWidth="1"/>
    <col min="159" max="159" width="7.75" bestFit="1" customWidth="1"/>
    <col min="160" max="160" width="6.5" bestFit="1" customWidth="1"/>
    <col min="161" max="161" width="7.75" bestFit="1" customWidth="1"/>
    <col min="162" max="162" width="6.5" bestFit="1" customWidth="1"/>
    <col min="163" max="163" width="7.75" bestFit="1" customWidth="1"/>
    <col min="164" max="164" width="6.5" bestFit="1" customWidth="1"/>
    <col min="165" max="165" width="7.75" bestFit="1" customWidth="1"/>
    <col min="166" max="166" width="6.5" bestFit="1" customWidth="1"/>
    <col min="167" max="167" width="7.75" bestFit="1" customWidth="1"/>
    <col min="168" max="168" width="6.5" bestFit="1" customWidth="1"/>
    <col min="169" max="169" width="7.75" bestFit="1" customWidth="1"/>
    <col min="170" max="170" width="6.5" bestFit="1" customWidth="1"/>
    <col min="171" max="171" width="7.75" bestFit="1" customWidth="1"/>
    <col min="172" max="172" width="11.25" bestFit="1" customWidth="1"/>
    <col min="173" max="173" width="7.75" bestFit="1" customWidth="1"/>
    <col min="174" max="174" width="11.25" bestFit="1" customWidth="1"/>
    <col min="175" max="175" width="7.75" bestFit="1" customWidth="1"/>
    <col min="176" max="176" width="6.5" bestFit="1" customWidth="1"/>
    <col min="177" max="177" width="7.75" bestFit="1" customWidth="1"/>
    <col min="178" max="178" width="6.5" bestFit="1" customWidth="1"/>
    <col min="179" max="179" width="7.75" bestFit="1" customWidth="1"/>
    <col min="180" max="180" width="6.5" bestFit="1" customWidth="1"/>
    <col min="181" max="181" width="7.75" bestFit="1" customWidth="1"/>
    <col min="182" max="182" width="6.5" bestFit="1" customWidth="1"/>
    <col min="183" max="183" width="7.75" bestFit="1" customWidth="1"/>
    <col min="184" max="184" width="6.5" bestFit="1" customWidth="1"/>
    <col min="185" max="185" width="7.75" bestFit="1" customWidth="1"/>
    <col min="186" max="186" width="6.5" bestFit="1" customWidth="1"/>
    <col min="187" max="187" width="7.75" bestFit="1" customWidth="1"/>
    <col min="188" max="188" width="6.5" bestFit="1" customWidth="1"/>
    <col min="189" max="189" width="7.75" bestFit="1" customWidth="1"/>
    <col min="190" max="190" width="6.5" bestFit="1" customWidth="1"/>
    <col min="191" max="191" width="7.75" bestFit="1" customWidth="1"/>
    <col min="192" max="192" width="6.5" bestFit="1" customWidth="1"/>
    <col min="193" max="193" width="7.75" bestFit="1" customWidth="1"/>
    <col min="194" max="194" width="6.5" bestFit="1" customWidth="1"/>
    <col min="195" max="195" width="7.75" bestFit="1" customWidth="1"/>
    <col min="196" max="196" width="6.5" bestFit="1" customWidth="1"/>
    <col min="197" max="197" width="7.75" bestFit="1" customWidth="1"/>
    <col min="198" max="198" width="6.5" bestFit="1" customWidth="1"/>
    <col min="199" max="199" width="7.75" bestFit="1" customWidth="1"/>
    <col min="200" max="200" width="6.5" bestFit="1" customWidth="1"/>
    <col min="201" max="201" width="8.75" bestFit="1" customWidth="1"/>
    <col min="202" max="202" width="6.5" bestFit="1" customWidth="1"/>
    <col min="203" max="203" width="8.75" bestFit="1" customWidth="1"/>
    <col min="204" max="204" width="6.5" bestFit="1" customWidth="1"/>
    <col min="205" max="205" width="8.75" bestFit="1" customWidth="1"/>
    <col min="206" max="206" width="6.5" bestFit="1" customWidth="1"/>
    <col min="207" max="207" width="8.75" bestFit="1" customWidth="1"/>
    <col min="208" max="208" width="6.5" bestFit="1" customWidth="1"/>
    <col min="209" max="209" width="8.75" bestFit="1" customWidth="1"/>
    <col min="210" max="210" width="11.25" bestFit="1" customWidth="1"/>
    <col min="211" max="211" width="8.75" bestFit="1" customWidth="1"/>
    <col min="212" max="212" width="6.5" bestFit="1" customWidth="1"/>
    <col min="213" max="213" width="8.75" bestFit="1" customWidth="1"/>
    <col min="214" max="214" width="11.25" bestFit="1" customWidth="1"/>
    <col min="215" max="215" width="8.75" bestFit="1" customWidth="1"/>
    <col min="216" max="216" width="11.25" bestFit="1" customWidth="1"/>
    <col min="217" max="217" width="8.75" bestFit="1" customWidth="1"/>
    <col min="218" max="218" width="6.5" bestFit="1" customWidth="1"/>
    <col min="219" max="219" width="8.75" bestFit="1" customWidth="1"/>
    <col min="220" max="220" width="11.25" bestFit="1" customWidth="1"/>
    <col min="221" max="221" width="8.75" bestFit="1" customWidth="1"/>
    <col min="222" max="222" width="6.5" bestFit="1" customWidth="1"/>
    <col min="223" max="223" width="8.75" bestFit="1" customWidth="1"/>
    <col min="224" max="224" width="6.5" bestFit="1" customWidth="1"/>
    <col min="225" max="225" width="8.75" bestFit="1" customWidth="1"/>
    <col min="226" max="226" width="6.5" bestFit="1" customWidth="1"/>
    <col min="227" max="227" width="8.75" bestFit="1" customWidth="1"/>
    <col min="228" max="228" width="11.25" bestFit="1" customWidth="1"/>
    <col min="229" max="229" width="8.75" bestFit="1" customWidth="1"/>
    <col min="230" max="230" width="6.5" bestFit="1" customWidth="1"/>
    <col min="231" max="231" width="8.75" bestFit="1" customWidth="1"/>
    <col min="232" max="232" width="11.25" bestFit="1" customWidth="1"/>
    <col min="233" max="233" width="8.75" bestFit="1" customWidth="1"/>
    <col min="234" max="234" width="11.25" bestFit="1" customWidth="1"/>
    <col min="235" max="235" width="8.75" bestFit="1" customWidth="1"/>
    <col min="236" max="236" width="6.5" bestFit="1" customWidth="1"/>
    <col min="237" max="237" width="8.75" bestFit="1" customWidth="1"/>
    <col min="238" max="238" width="6.5" bestFit="1" customWidth="1"/>
    <col min="239" max="239" width="8.75" bestFit="1" customWidth="1"/>
    <col min="240" max="240" width="6.5" bestFit="1" customWidth="1"/>
    <col min="241" max="241" width="8.75" bestFit="1" customWidth="1"/>
    <col min="242" max="242" width="11.25" bestFit="1" customWidth="1"/>
    <col min="243" max="243" width="8.75" bestFit="1" customWidth="1"/>
    <col min="244" max="244" width="6.5" bestFit="1" customWidth="1"/>
    <col min="245" max="245" width="8.75" bestFit="1" customWidth="1"/>
    <col min="246" max="246" width="6.5" bestFit="1" customWidth="1"/>
    <col min="247" max="247" width="8.75" bestFit="1" customWidth="1"/>
    <col min="248" max="248" width="6.5" bestFit="1" customWidth="1"/>
    <col min="249" max="249" width="8.75" bestFit="1" customWidth="1"/>
    <col min="250" max="250" width="6.5" bestFit="1" customWidth="1"/>
    <col min="251" max="251" width="8.75" bestFit="1" customWidth="1"/>
    <col min="252" max="252" width="11.25" bestFit="1" customWidth="1"/>
    <col min="253" max="253" width="8.75" bestFit="1" customWidth="1"/>
    <col min="254" max="254" width="6.5" bestFit="1" customWidth="1"/>
    <col min="255" max="255" width="8.75" bestFit="1" customWidth="1"/>
    <col min="256" max="256" width="11.25" bestFit="1" customWidth="1"/>
    <col min="257" max="257" width="8.75" bestFit="1" customWidth="1"/>
    <col min="258" max="258" width="11.25" bestFit="1" customWidth="1"/>
    <col min="259" max="259" width="8.75" bestFit="1" customWidth="1"/>
    <col min="260" max="260" width="6.5" bestFit="1" customWidth="1"/>
    <col min="261" max="261" width="8.75" bestFit="1" customWidth="1"/>
    <col min="262" max="262" width="11.25" bestFit="1" customWidth="1"/>
    <col min="263" max="263" width="8.75" bestFit="1" customWidth="1"/>
    <col min="264" max="264" width="6.5" bestFit="1" customWidth="1"/>
    <col min="265" max="265" width="8.75" bestFit="1" customWidth="1"/>
    <col min="266" max="266" width="11.25" bestFit="1" customWidth="1"/>
    <col min="267" max="267" width="8.75" bestFit="1" customWidth="1"/>
    <col min="268" max="268" width="6.5" bestFit="1" customWidth="1"/>
    <col min="269" max="269" width="8.75" bestFit="1" customWidth="1"/>
    <col min="270" max="270" width="11.25" bestFit="1" customWidth="1"/>
    <col min="271" max="271" width="8.75" bestFit="1" customWidth="1"/>
    <col min="272" max="272" width="6.5" bestFit="1" customWidth="1"/>
    <col min="273" max="273" width="8.75" bestFit="1" customWidth="1"/>
    <col min="274" max="274" width="6.5" bestFit="1" customWidth="1"/>
    <col min="275" max="275" width="8.75" bestFit="1" customWidth="1"/>
    <col min="276" max="276" width="6.5" bestFit="1" customWidth="1"/>
    <col min="277" max="277" width="8.75" bestFit="1" customWidth="1"/>
    <col min="278" max="278" width="6.5" bestFit="1" customWidth="1"/>
    <col min="279" max="279" width="8.75" bestFit="1" customWidth="1"/>
    <col min="280" max="280" width="6.5" bestFit="1" customWidth="1"/>
    <col min="281" max="281" width="8.75" bestFit="1" customWidth="1"/>
    <col min="282" max="282" width="11.25" bestFit="1" customWidth="1"/>
    <col min="283" max="283" width="8.75" bestFit="1" customWidth="1"/>
    <col min="284" max="284" width="6.5" bestFit="1" customWidth="1"/>
    <col min="285" max="285" width="8.75" bestFit="1" customWidth="1"/>
    <col min="286" max="286" width="6.5" bestFit="1" customWidth="1"/>
    <col min="287" max="287" width="8.75" bestFit="1" customWidth="1"/>
    <col min="288" max="288" width="6.5" bestFit="1" customWidth="1"/>
    <col min="289" max="289" width="8.75" bestFit="1" customWidth="1"/>
    <col min="290" max="290" width="6.5" bestFit="1" customWidth="1"/>
    <col min="291" max="291" width="8.75" bestFit="1" customWidth="1"/>
    <col min="292" max="292" width="6.5" bestFit="1" customWidth="1"/>
    <col min="293" max="293" width="8.75" bestFit="1" customWidth="1"/>
    <col min="294" max="294" width="11.25" bestFit="1" customWidth="1"/>
    <col min="295" max="295" width="8.75" bestFit="1" customWidth="1"/>
    <col min="296" max="296" width="11.25" bestFit="1" customWidth="1"/>
    <col min="297" max="297" width="8.75" bestFit="1" customWidth="1"/>
    <col min="298" max="298" width="11.25" bestFit="1" customWidth="1"/>
    <col min="299" max="299" width="8.75" bestFit="1" customWidth="1"/>
    <col min="300" max="300" width="6.5" bestFit="1" customWidth="1"/>
    <col min="301" max="301" width="8.75" bestFit="1" customWidth="1"/>
    <col min="302" max="302" width="11.25" bestFit="1" customWidth="1"/>
    <col min="303" max="303" width="8.75" bestFit="1" customWidth="1"/>
    <col min="304" max="304" width="6.5" bestFit="1" customWidth="1"/>
    <col min="305" max="305" width="8.75" bestFit="1" customWidth="1"/>
    <col min="306" max="306" width="6.5" bestFit="1" customWidth="1"/>
    <col min="307" max="307" width="8.75" bestFit="1" customWidth="1"/>
    <col min="308" max="308" width="6.5" bestFit="1" customWidth="1"/>
    <col min="309" max="309" width="8.75" bestFit="1" customWidth="1"/>
    <col min="310" max="310" width="6.5" bestFit="1" customWidth="1"/>
    <col min="311" max="311" width="8.75" bestFit="1" customWidth="1"/>
    <col min="312" max="312" width="6.5" bestFit="1" customWidth="1"/>
    <col min="313" max="313" width="8.75" bestFit="1" customWidth="1"/>
    <col min="314" max="314" width="6.5" bestFit="1" customWidth="1"/>
    <col min="315" max="315" width="8.75" bestFit="1" customWidth="1"/>
    <col min="316" max="316" width="6.5" bestFit="1" customWidth="1"/>
    <col min="317" max="317" width="8.75" bestFit="1" customWidth="1"/>
    <col min="318" max="318" width="11.25" bestFit="1" customWidth="1"/>
    <col min="319" max="319" width="8.75" bestFit="1" customWidth="1"/>
    <col min="320" max="320" width="6.5" bestFit="1" customWidth="1"/>
    <col min="321" max="321" width="8.75" bestFit="1" customWidth="1"/>
    <col min="322" max="322" width="6.5" bestFit="1" customWidth="1"/>
    <col min="323" max="323" width="8.75" bestFit="1" customWidth="1"/>
    <col min="324" max="324" width="6.5" bestFit="1" customWidth="1"/>
    <col min="325" max="325" width="8.75" bestFit="1" customWidth="1"/>
    <col min="326" max="326" width="6.5" bestFit="1" customWidth="1"/>
    <col min="327" max="327" width="8.75" bestFit="1" customWidth="1"/>
    <col min="328" max="328" width="6.5" bestFit="1" customWidth="1"/>
    <col min="329" max="329" width="8.75" bestFit="1" customWidth="1"/>
    <col min="330" max="330" width="6.5" bestFit="1" customWidth="1"/>
    <col min="331" max="331" width="8.75" bestFit="1" customWidth="1"/>
    <col min="332" max="332" width="6.5" bestFit="1" customWidth="1"/>
    <col min="333" max="333" width="8.75" bestFit="1" customWidth="1"/>
    <col min="334" max="334" width="6.5" bestFit="1" customWidth="1"/>
    <col min="335" max="335" width="8.75" bestFit="1" customWidth="1"/>
    <col min="336" max="336" width="6.5" bestFit="1" customWidth="1"/>
    <col min="337" max="337" width="8.75" bestFit="1" customWidth="1"/>
    <col min="338" max="338" width="11.25" bestFit="1" customWidth="1"/>
    <col min="339" max="339" width="8.75" bestFit="1" customWidth="1"/>
    <col min="340" max="340" width="11.25" bestFit="1" customWidth="1"/>
    <col min="341" max="341" width="8.75" bestFit="1" customWidth="1"/>
    <col min="342" max="342" width="6.5" bestFit="1" customWidth="1"/>
    <col min="343" max="343" width="8.75" bestFit="1" customWidth="1"/>
    <col min="344" max="344" width="6.5" bestFit="1" customWidth="1"/>
    <col min="345" max="345" width="8.75" bestFit="1" customWidth="1"/>
    <col min="346" max="346" width="6.5" bestFit="1" customWidth="1"/>
    <col min="347" max="347" width="8.75" bestFit="1" customWidth="1"/>
    <col min="348" max="348" width="6.5" bestFit="1" customWidth="1"/>
    <col min="349" max="349" width="8.75" bestFit="1" customWidth="1"/>
    <col min="350" max="350" width="6.5" bestFit="1" customWidth="1"/>
    <col min="351" max="351" width="8.75" bestFit="1" customWidth="1"/>
    <col min="352" max="352" width="6.5" bestFit="1" customWidth="1"/>
    <col min="353" max="353" width="8.75" bestFit="1" customWidth="1"/>
    <col min="354" max="354" width="6.5" bestFit="1" customWidth="1"/>
    <col min="355" max="355" width="8.75" bestFit="1" customWidth="1"/>
    <col min="356" max="356" width="6.5" bestFit="1" customWidth="1"/>
    <col min="357" max="357" width="8.75" bestFit="1" customWidth="1"/>
    <col min="358" max="358" width="6.5" bestFit="1" customWidth="1"/>
    <col min="359" max="359" width="8.75" bestFit="1" customWidth="1"/>
    <col min="360" max="360" width="6.5" bestFit="1" customWidth="1"/>
    <col min="361" max="361" width="8.75" bestFit="1" customWidth="1"/>
    <col min="362" max="362" width="11.25" bestFit="1" customWidth="1"/>
    <col min="363" max="363" width="8.75" bestFit="1" customWidth="1"/>
    <col min="364" max="364" width="6.5" bestFit="1" customWidth="1"/>
    <col min="365" max="365" width="8.75" bestFit="1" customWidth="1"/>
    <col min="366" max="366" width="6.5" bestFit="1" customWidth="1"/>
    <col min="367" max="367" width="8.75" bestFit="1" customWidth="1"/>
    <col min="368" max="368" width="6.5" bestFit="1" customWidth="1"/>
    <col min="369" max="369" width="8.75" bestFit="1" customWidth="1"/>
    <col min="370" max="370" width="11.25" bestFit="1" customWidth="1"/>
    <col min="371" max="371" width="8.75" bestFit="1" customWidth="1"/>
    <col min="372" max="372" width="11.25" bestFit="1" customWidth="1"/>
    <col min="373" max="373" width="8.75" bestFit="1" customWidth="1"/>
    <col min="374" max="374" width="6.5" bestFit="1" customWidth="1"/>
    <col min="375" max="375" width="8.75" bestFit="1" customWidth="1"/>
    <col min="376" max="376" width="6.5" bestFit="1" customWidth="1"/>
    <col min="377" max="377" width="8.75" bestFit="1" customWidth="1"/>
    <col min="378" max="378" width="6.5" bestFit="1" customWidth="1"/>
    <col min="379" max="379" width="8.75" bestFit="1" customWidth="1"/>
    <col min="380" max="380" width="6.5" bestFit="1" customWidth="1"/>
    <col min="381" max="381" width="8.75" bestFit="1" customWidth="1"/>
    <col min="382" max="382" width="6.5" bestFit="1" customWidth="1"/>
    <col min="383" max="383" width="8.75" bestFit="1" customWidth="1"/>
    <col min="384" max="384" width="6.5" bestFit="1" customWidth="1"/>
    <col min="385" max="385" width="8.75" bestFit="1" customWidth="1"/>
    <col min="386" max="386" width="6.5" bestFit="1" customWidth="1"/>
    <col min="387" max="387" width="8.75" bestFit="1" customWidth="1"/>
    <col min="388" max="388" width="6.5" bestFit="1" customWidth="1"/>
    <col min="389" max="389" width="8.75" bestFit="1" customWidth="1"/>
    <col min="390" max="390" width="6.5" bestFit="1" customWidth="1"/>
    <col min="391" max="391" width="8.75" bestFit="1" customWidth="1"/>
    <col min="392" max="392" width="6.5" bestFit="1" customWidth="1"/>
    <col min="393" max="393" width="8.75" bestFit="1" customWidth="1"/>
    <col min="394" max="394" width="6.5" bestFit="1" customWidth="1"/>
    <col min="395" max="395" width="8.75" bestFit="1" customWidth="1"/>
    <col min="396" max="396" width="6.5" bestFit="1" customWidth="1"/>
    <col min="397" max="397" width="8.75" bestFit="1" customWidth="1"/>
    <col min="398" max="398" width="6.5" bestFit="1" customWidth="1"/>
    <col min="399" max="399" width="8.75" bestFit="1" customWidth="1"/>
    <col min="400" max="400" width="11.25" bestFit="1" customWidth="1"/>
    <col min="401" max="401" width="8.75" bestFit="1" customWidth="1"/>
    <col min="402" max="402" width="6.5" bestFit="1" customWidth="1"/>
    <col min="403" max="403" width="8.75" bestFit="1" customWidth="1"/>
    <col min="404" max="404" width="6.5" bestFit="1" customWidth="1"/>
    <col min="405" max="405" width="8.75" bestFit="1" customWidth="1"/>
    <col min="406" max="406" width="6.5" bestFit="1" customWidth="1"/>
    <col min="407" max="407" width="8.75" bestFit="1" customWidth="1"/>
    <col min="408" max="408" width="6.5" bestFit="1" customWidth="1"/>
    <col min="409" max="409" width="8.75" bestFit="1" customWidth="1"/>
    <col min="410" max="410" width="6.5" bestFit="1" customWidth="1"/>
    <col min="411" max="411" width="8.75" bestFit="1" customWidth="1"/>
    <col min="412" max="412" width="6.5" bestFit="1" customWidth="1"/>
    <col min="413" max="413" width="8.75" bestFit="1" customWidth="1"/>
    <col min="414" max="414" width="6.5" bestFit="1" customWidth="1"/>
    <col min="415" max="415" width="8.75" bestFit="1" customWidth="1"/>
    <col min="416" max="416" width="6.5" bestFit="1" customWidth="1"/>
    <col min="417" max="417" width="8.75" bestFit="1" customWidth="1"/>
    <col min="418" max="418" width="6.5" bestFit="1" customWidth="1"/>
    <col min="419" max="419" width="8.75" bestFit="1" customWidth="1"/>
    <col min="420" max="420" width="6.5" bestFit="1" customWidth="1"/>
    <col min="421" max="421" width="8.75" bestFit="1" customWidth="1"/>
    <col min="422" max="422" width="6.5" bestFit="1" customWidth="1"/>
    <col min="423" max="423" width="8.75" bestFit="1" customWidth="1"/>
    <col min="424" max="424" width="11.25" bestFit="1" customWidth="1"/>
    <col min="425" max="425" width="8.75" bestFit="1" customWidth="1"/>
    <col min="426" max="426" width="11.25" bestFit="1" customWidth="1"/>
    <col min="427" max="427" width="8.75" bestFit="1" customWidth="1"/>
    <col min="428" max="428" width="11.25" bestFit="1" customWidth="1"/>
    <col min="429" max="429" width="8.75" bestFit="1" customWidth="1"/>
    <col min="430" max="430" width="6.5" bestFit="1" customWidth="1"/>
    <col min="431" max="431" width="8.75" bestFit="1" customWidth="1"/>
    <col min="432" max="432" width="6.5" bestFit="1" customWidth="1"/>
    <col min="433" max="433" width="8.75" bestFit="1" customWidth="1"/>
    <col min="434" max="434" width="6.5" bestFit="1" customWidth="1"/>
    <col min="435" max="435" width="8.75" bestFit="1" customWidth="1"/>
    <col min="436" max="436" width="6.5" bestFit="1" customWidth="1"/>
    <col min="437" max="437" width="8.75" bestFit="1" customWidth="1"/>
    <col min="438" max="438" width="6.5" bestFit="1" customWidth="1"/>
    <col min="439" max="439" width="8.75" bestFit="1" customWidth="1"/>
    <col min="440" max="440" width="6.5" bestFit="1" customWidth="1"/>
    <col min="441" max="441" width="8.75" bestFit="1" customWidth="1"/>
    <col min="442" max="442" width="6.5" bestFit="1" customWidth="1"/>
    <col min="443" max="443" width="8.75" bestFit="1" customWidth="1"/>
    <col min="444" max="444" width="6.5" bestFit="1" customWidth="1"/>
    <col min="445" max="445" width="8.75" bestFit="1" customWidth="1"/>
    <col min="446" max="446" width="6.5" bestFit="1" customWidth="1"/>
    <col min="447" max="447" width="8.75" bestFit="1" customWidth="1"/>
    <col min="448" max="448" width="11.25" bestFit="1" customWidth="1"/>
    <col min="449" max="449" width="8.75" bestFit="1" customWidth="1"/>
    <col min="450" max="450" width="6.5" bestFit="1" customWidth="1"/>
    <col min="451" max="451" width="8.75" bestFit="1" customWidth="1"/>
    <col min="452" max="452" width="6.5" bestFit="1" customWidth="1"/>
    <col min="453" max="453" width="8.75" bestFit="1" customWidth="1"/>
    <col min="454" max="454" width="6.5" bestFit="1" customWidth="1"/>
    <col min="455" max="455" width="8.75" bestFit="1" customWidth="1"/>
    <col min="456" max="456" width="6.5" bestFit="1" customWidth="1"/>
    <col min="457" max="457" width="8.75" bestFit="1" customWidth="1"/>
    <col min="458" max="458" width="6.5" bestFit="1" customWidth="1"/>
    <col min="459" max="459" width="8.75" bestFit="1" customWidth="1"/>
    <col min="460" max="460" width="6.5" bestFit="1" customWidth="1"/>
    <col min="461" max="461" width="8.75" bestFit="1" customWidth="1"/>
    <col min="462" max="462" width="11.25" bestFit="1" customWidth="1"/>
    <col min="463" max="463" width="8.75" bestFit="1" customWidth="1"/>
    <col min="464" max="464" width="6.5" bestFit="1" customWidth="1"/>
    <col min="465" max="465" width="8.75" bestFit="1" customWidth="1"/>
    <col min="466" max="466" width="6.5" bestFit="1" customWidth="1"/>
    <col min="467" max="467" width="8.75" bestFit="1" customWidth="1"/>
    <col min="468" max="468" width="6.5" bestFit="1" customWidth="1"/>
    <col min="469" max="469" width="8.75" bestFit="1" customWidth="1"/>
    <col min="470" max="470" width="11.25" bestFit="1" customWidth="1"/>
    <col min="471" max="471" width="8.75" bestFit="1" customWidth="1"/>
    <col min="472" max="472" width="6.5" bestFit="1" customWidth="1"/>
    <col min="473" max="473" width="8.75" bestFit="1" customWidth="1"/>
    <col min="474" max="474" width="6.5" bestFit="1" customWidth="1"/>
    <col min="475" max="475" width="8.75" bestFit="1" customWidth="1"/>
    <col min="476" max="476" width="6.5" bestFit="1" customWidth="1"/>
    <col min="477" max="477" width="8.75" bestFit="1" customWidth="1"/>
    <col min="478" max="478" width="6.5" bestFit="1" customWidth="1"/>
    <col min="479" max="479" width="8.75" bestFit="1" customWidth="1"/>
    <col min="480" max="480" width="11.25" bestFit="1" customWidth="1"/>
    <col min="481" max="481" width="8.75" bestFit="1" customWidth="1"/>
    <col min="482" max="482" width="11.25" bestFit="1" customWidth="1"/>
    <col min="483" max="483" width="8.75" bestFit="1" customWidth="1"/>
    <col min="484" max="484" width="11.25" bestFit="1" customWidth="1"/>
    <col min="485" max="485" width="8.75" bestFit="1" customWidth="1"/>
    <col min="486" max="486" width="6.5" bestFit="1" customWidth="1"/>
    <col min="487" max="487" width="8.75" bestFit="1" customWidth="1"/>
    <col min="488" max="488" width="11.25" bestFit="1" customWidth="1"/>
    <col min="489" max="489" width="8.75" bestFit="1" customWidth="1"/>
    <col min="490" max="490" width="6.5" bestFit="1" customWidth="1"/>
    <col min="491" max="491" width="8.75" bestFit="1" customWidth="1"/>
    <col min="492" max="492" width="6.5" bestFit="1" customWidth="1"/>
    <col min="493" max="493" width="8.75" bestFit="1" customWidth="1"/>
    <col min="494" max="494" width="6.5" bestFit="1" customWidth="1"/>
    <col min="495" max="495" width="8.75" bestFit="1" customWidth="1"/>
    <col min="496" max="496" width="11.25" bestFit="1" customWidth="1"/>
    <col min="497" max="497" width="8.75" bestFit="1" customWidth="1"/>
    <col min="498" max="498" width="11.25" bestFit="1" customWidth="1"/>
    <col min="499" max="499" width="8.75" bestFit="1" customWidth="1"/>
    <col min="500" max="500" width="6.5" bestFit="1" customWidth="1"/>
    <col min="501" max="501" width="8.75" bestFit="1" customWidth="1"/>
    <col min="502" max="502" width="6.5" bestFit="1" customWidth="1"/>
    <col min="503" max="503" width="8.75" bestFit="1" customWidth="1"/>
    <col min="504" max="504" width="6.5" bestFit="1" customWidth="1"/>
    <col min="505" max="505" width="8.75" bestFit="1" customWidth="1"/>
    <col min="506" max="506" width="6.5" bestFit="1" customWidth="1"/>
    <col min="507" max="507" width="8.75" bestFit="1" customWidth="1"/>
    <col min="508" max="508" width="6.5" bestFit="1" customWidth="1"/>
    <col min="509" max="509" width="8.75" bestFit="1" customWidth="1"/>
    <col min="510" max="510" width="6.5" bestFit="1" customWidth="1"/>
    <col min="511" max="511" width="8.75" bestFit="1" customWidth="1"/>
    <col min="512" max="512" width="11.25" bestFit="1" customWidth="1"/>
    <col min="513" max="513" width="8.75" bestFit="1" customWidth="1"/>
    <col min="514" max="514" width="11.25" bestFit="1" customWidth="1"/>
    <col min="515" max="515" width="8.75" bestFit="1" customWidth="1"/>
    <col min="516" max="516" width="6.5" bestFit="1" customWidth="1"/>
    <col min="517" max="517" width="8.75" bestFit="1" customWidth="1"/>
    <col min="518" max="518" width="6.5" bestFit="1" customWidth="1"/>
    <col min="519" max="519" width="8.75" bestFit="1" customWidth="1"/>
    <col min="520" max="520" width="11.25" bestFit="1" customWidth="1"/>
    <col min="521" max="521" width="8.75" bestFit="1" customWidth="1"/>
    <col min="522" max="522" width="11.25" bestFit="1" customWidth="1"/>
    <col min="523" max="523" width="8.75" bestFit="1" customWidth="1"/>
    <col min="524" max="524" width="6.5" bestFit="1" customWidth="1"/>
    <col min="525" max="525" width="8.75" bestFit="1" customWidth="1"/>
    <col min="526" max="526" width="11.25" bestFit="1" customWidth="1"/>
    <col min="527" max="527" width="8.75" bestFit="1" customWidth="1"/>
    <col min="528" max="528" width="6.5" bestFit="1" customWidth="1"/>
    <col min="529" max="529" width="8.75" bestFit="1" customWidth="1"/>
    <col min="530" max="530" width="6.5" bestFit="1" customWidth="1"/>
    <col min="531" max="531" width="8.75" bestFit="1" customWidth="1"/>
    <col min="532" max="532" width="11.25" bestFit="1" customWidth="1"/>
    <col min="533" max="533" width="8.75" bestFit="1" customWidth="1"/>
    <col min="534" max="534" width="6.5" bestFit="1" customWidth="1"/>
    <col min="535" max="535" width="8.75" bestFit="1" customWidth="1"/>
    <col min="536" max="536" width="11.25" bestFit="1" customWidth="1"/>
    <col min="537" max="537" width="8.75" bestFit="1" customWidth="1"/>
    <col min="538" max="538" width="11.25" bestFit="1" customWidth="1"/>
    <col min="539" max="539" width="8.75" bestFit="1" customWidth="1"/>
    <col min="540" max="540" width="6.5" bestFit="1" customWidth="1"/>
    <col min="541" max="541" width="8.75" bestFit="1" customWidth="1"/>
    <col min="542" max="542" width="6.5" bestFit="1" customWidth="1"/>
    <col min="543" max="543" width="8.75" bestFit="1" customWidth="1"/>
    <col min="544" max="544" width="6.5" bestFit="1" customWidth="1"/>
    <col min="545" max="545" width="8.75" bestFit="1" customWidth="1"/>
    <col min="546" max="546" width="11.25" bestFit="1" customWidth="1"/>
    <col min="547" max="547" width="8.75" bestFit="1" customWidth="1"/>
    <col min="548" max="548" width="11.25" bestFit="1" customWidth="1"/>
    <col min="549" max="549" width="8.75" bestFit="1" customWidth="1"/>
    <col min="550" max="550" width="6.5" bestFit="1" customWidth="1"/>
    <col min="551" max="551" width="8.75" bestFit="1" customWidth="1"/>
    <col min="552" max="552" width="11.25" bestFit="1" customWidth="1"/>
    <col min="553" max="553" width="8.75" bestFit="1" customWidth="1"/>
    <col min="554" max="554" width="6.5" bestFit="1" customWidth="1"/>
    <col min="555" max="555" width="8.75" bestFit="1" customWidth="1"/>
    <col min="556" max="556" width="6.5" bestFit="1" customWidth="1"/>
    <col min="557" max="557" width="8.75" bestFit="1" customWidth="1"/>
    <col min="558" max="558" width="6.5" bestFit="1" customWidth="1"/>
    <col min="559" max="559" width="8.75" bestFit="1" customWidth="1"/>
    <col min="560" max="560" width="6.5" bestFit="1" customWidth="1"/>
    <col min="561" max="561" width="8.75" bestFit="1" customWidth="1"/>
    <col min="562" max="562" width="11.25" bestFit="1" customWidth="1"/>
    <col min="563" max="563" width="8.75" bestFit="1" customWidth="1"/>
    <col min="564" max="564" width="6.5" bestFit="1" customWidth="1"/>
    <col min="565" max="565" width="8.75" bestFit="1" customWidth="1"/>
    <col min="566" max="566" width="11.25" bestFit="1" customWidth="1"/>
    <col min="567" max="567" width="8.75" bestFit="1" customWidth="1"/>
    <col min="568" max="568" width="6.5" bestFit="1" customWidth="1"/>
    <col min="569" max="569" width="8.75" bestFit="1" customWidth="1"/>
    <col min="570" max="570" width="6.5" bestFit="1" customWidth="1"/>
    <col min="571" max="571" width="8.75" bestFit="1" customWidth="1"/>
    <col min="572" max="572" width="6.5" bestFit="1" customWidth="1"/>
    <col min="573" max="573" width="8.75" bestFit="1" customWidth="1"/>
    <col min="574" max="574" width="6.5" bestFit="1" customWidth="1"/>
    <col min="575" max="575" width="8.75" bestFit="1" customWidth="1"/>
    <col min="576" max="576" width="11.25" bestFit="1" customWidth="1"/>
    <col min="577" max="577" width="8.75" bestFit="1" customWidth="1"/>
    <col min="578" max="578" width="6.5" bestFit="1" customWidth="1"/>
    <col min="579" max="579" width="8.75" bestFit="1" customWidth="1"/>
    <col min="580" max="580" width="6.5" bestFit="1" customWidth="1"/>
    <col min="581" max="581" width="8.75" bestFit="1" customWidth="1"/>
    <col min="582" max="582" width="6.5" bestFit="1" customWidth="1"/>
    <col min="583" max="583" width="8.75" bestFit="1" customWidth="1"/>
    <col min="584" max="584" width="11.25" bestFit="1" customWidth="1"/>
    <col min="585" max="585" width="8.75" bestFit="1" customWidth="1"/>
    <col min="586" max="586" width="6.5" bestFit="1" customWidth="1"/>
    <col min="587" max="587" width="8.75" bestFit="1" customWidth="1"/>
    <col min="588" max="588" width="11.25" bestFit="1" customWidth="1"/>
    <col min="589" max="589" width="8.75" bestFit="1" customWidth="1"/>
    <col min="590" max="590" width="11.25" bestFit="1" customWidth="1"/>
    <col min="591" max="591" width="8.75" bestFit="1" customWidth="1"/>
    <col min="592" max="592" width="11.25" bestFit="1" customWidth="1"/>
    <col min="593" max="593" width="8.75" bestFit="1" customWidth="1"/>
    <col min="594" max="594" width="6.5" bestFit="1" customWidth="1"/>
    <col min="595" max="595" width="8.75" bestFit="1" customWidth="1"/>
    <col min="596" max="596" width="11.25" bestFit="1" customWidth="1"/>
    <col min="597" max="597" width="8.75" bestFit="1" customWidth="1"/>
    <col min="598" max="598" width="6.5" bestFit="1" customWidth="1"/>
    <col min="599" max="599" width="8.75" bestFit="1" customWidth="1"/>
    <col min="600" max="600" width="11.25" bestFit="1" customWidth="1"/>
    <col min="601" max="601" width="8.75" bestFit="1" customWidth="1"/>
    <col min="602" max="602" width="6.5" bestFit="1" customWidth="1"/>
    <col min="603" max="603" width="8.75" bestFit="1" customWidth="1"/>
    <col min="604" max="604" width="6.5" bestFit="1" customWidth="1"/>
    <col min="605" max="605" width="8.75" bestFit="1" customWidth="1"/>
    <col min="606" max="606" width="11.25" bestFit="1" customWidth="1"/>
    <col min="607" max="607" width="8.75" bestFit="1" customWidth="1"/>
    <col min="608" max="608" width="6.5" bestFit="1" customWidth="1"/>
    <col min="609" max="609" width="8.75" bestFit="1" customWidth="1"/>
    <col min="610" max="610" width="11.25" bestFit="1" customWidth="1"/>
    <col min="611" max="611" width="8.75" bestFit="1" customWidth="1"/>
    <col min="612" max="612" width="6.5" bestFit="1" customWidth="1"/>
    <col min="613" max="613" width="8.75" bestFit="1" customWidth="1"/>
    <col min="614" max="614" width="11.25" bestFit="1" customWidth="1"/>
    <col min="615" max="615" width="8.75" bestFit="1" customWidth="1"/>
    <col min="616" max="616" width="6.5" bestFit="1" customWidth="1"/>
    <col min="617" max="617" width="8.75" bestFit="1" customWidth="1"/>
    <col min="618" max="618" width="11.25" bestFit="1" customWidth="1"/>
    <col min="619" max="619" width="8.75" bestFit="1" customWidth="1"/>
    <col min="620" max="620" width="11.25" bestFit="1" customWidth="1"/>
    <col min="621" max="621" width="8.75" bestFit="1" customWidth="1"/>
    <col min="622" max="622" width="6.5" bestFit="1" customWidth="1"/>
    <col min="623" max="623" width="8.75" bestFit="1" customWidth="1"/>
    <col min="624" max="624" width="6.5" bestFit="1" customWidth="1"/>
    <col min="625" max="625" width="8.75" bestFit="1" customWidth="1"/>
    <col min="626" max="626" width="6.5" bestFit="1" customWidth="1"/>
    <col min="627" max="627" width="8.75" bestFit="1" customWidth="1"/>
    <col min="628" max="628" width="6.5" bestFit="1" customWidth="1"/>
    <col min="629" max="629" width="8.75" bestFit="1" customWidth="1"/>
    <col min="630" max="630" width="6.5" bestFit="1" customWidth="1"/>
    <col min="631" max="631" width="8.75" bestFit="1" customWidth="1"/>
    <col min="632" max="632" width="6.5" bestFit="1" customWidth="1"/>
    <col min="633" max="633" width="8.75" bestFit="1" customWidth="1"/>
    <col min="634" max="634" width="11.25" bestFit="1" customWidth="1"/>
    <col min="635" max="635" width="8.75" bestFit="1" customWidth="1"/>
    <col min="636" max="636" width="6.5" bestFit="1" customWidth="1"/>
    <col min="637" max="637" width="8.75" bestFit="1" customWidth="1"/>
    <col min="638" max="638" width="6.5" bestFit="1" customWidth="1"/>
    <col min="639" max="639" width="8.75" bestFit="1" customWidth="1"/>
    <col min="640" max="640" width="11.25" bestFit="1" customWidth="1"/>
    <col min="641" max="641" width="8.75" bestFit="1" customWidth="1"/>
    <col min="642" max="642" width="11.25" bestFit="1" customWidth="1"/>
    <col min="643" max="643" width="8.75" bestFit="1" customWidth="1"/>
    <col min="644" max="644" width="6.5" bestFit="1" customWidth="1"/>
    <col min="645" max="645" width="8.75" bestFit="1" customWidth="1"/>
    <col min="646" max="646" width="11.25" bestFit="1" customWidth="1"/>
    <col min="647" max="647" width="8.75" bestFit="1" customWidth="1"/>
    <col min="648" max="648" width="6.5" bestFit="1" customWidth="1"/>
    <col min="649" max="649" width="8.75" bestFit="1" customWidth="1"/>
    <col min="650" max="650" width="6.5" bestFit="1" customWidth="1"/>
    <col min="651" max="651" width="8.75" bestFit="1" customWidth="1"/>
    <col min="652" max="652" width="11.25" bestFit="1" customWidth="1"/>
    <col min="653" max="653" width="8.75" bestFit="1" customWidth="1"/>
    <col min="654" max="654" width="6.5" bestFit="1" customWidth="1"/>
    <col min="655" max="655" width="8.75" bestFit="1" customWidth="1"/>
    <col min="656" max="656" width="6.5" bestFit="1" customWidth="1"/>
    <col min="657" max="657" width="8.75" bestFit="1" customWidth="1"/>
    <col min="658" max="658" width="6.5" bestFit="1" customWidth="1"/>
    <col min="659" max="659" width="8.75" bestFit="1" customWidth="1"/>
    <col min="660" max="660" width="11.25" bestFit="1" customWidth="1"/>
    <col min="661" max="661" width="8.75" bestFit="1" customWidth="1"/>
    <col min="662" max="662" width="11.25" bestFit="1" customWidth="1"/>
    <col min="663" max="663" width="8.75" bestFit="1" customWidth="1"/>
    <col min="664" max="664" width="6.5" bestFit="1" customWidth="1"/>
    <col min="665" max="665" width="8.75" bestFit="1" customWidth="1"/>
    <col min="666" max="666" width="6.5" bestFit="1" customWidth="1"/>
    <col min="667" max="667" width="8.75" bestFit="1" customWidth="1"/>
    <col min="668" max="668" width="6.5" bestFit="1" customWidth="1"/>
    <col min="669" max="669" width="8.75" bestFit="1" customWidth="1"/>
    <col min="670" max="670" width="6.5" bestFit="1" customWidth="1"/>
    <col min="671" max="671" width="8.75" bestFit="1" customWidth="1"/>
    <col min="672" max="672" width="6.5" bestFit="1" customWidth="1"/>
    <col min="673" max="673" width="8.75" bestFit="1" customWidth="1"/>
    <col min="674" max="674" width="6.5" bestFit="1" customWidth="1"/>
    <col min="675" max="675" width="8.75" bestFit="1" customWidth="1"/>
    <col min="676" max="676" width="6.5" bestFit="1" customWidth="1"/>
    <col min="677" max="677" width="8.75" bestFit="1" customWidth="1"/>
    <col min="678" max="678" width="11.25" bestFit="1" customWidth="1"/>
    <col min="679" max="679" width="8.75" bestFit="1" customWidth="1"/>
    <col min="680" max="680" width="6.5" bestFit="1" customWidth="1"/>
    <col min="681" max="681" width="8.75" bestFit="1" customWidth="1"/>
    <col min="682" max="682" width="6.5" bestFit="1" customWidth="1"/>
    <col min="683" max="683" width="8.75" bestFit="1" customWidth="1"/>
    <col min="684" max="684" width="6.5" bestFit="1" customWidth="1"/>
    <col min="685" max="685" width="8.75" bestFit="1" customWidth="1"/>
    <col min="686" max="686" width="11.25" bestFit="1" customWidth="1"/>
    <col min="687" max="687" width="8.75" bestFit="1" customWidth="1"/>
    <col min="688" max="688" width="6.5" bestFit="1" customWidth="1"/>
    <col min="689" max="689" width="8.75" bestFit="1" customWidth="1"/>
    <col min="690" max="690" width="6.5" bestFit="1" customWidth="1"/>
    <col min="691" max="691" width="8.75" bestFit="1" customWidth="1"/>
    <col min="692" max="692" width="6.5" bestFit="1" customWidth="1"/>
    <col min="693" max="693" width="8.75" bestFit="1" customWidth="1"/>
    <col min="694" max="694" width="6.5" bestFit="1" customWidth="1"/>
    <col min="695" max="695" width="8.75" bestFit="1" customWidth="1"/>
    <col min="696" max="696" width="6.5" bestFit="1" customWidth="1"/>
    <col min="697" max="697" width="8.75" bestFit="1" customWidth="1"/>
    <col min="698" max="698" width="6.5" bestFit="1" customWidth="1"/>
    <col min="699" max="699" width="8.75" bestFit="1" customWidth="1"/>
    <col min="700" max="700" width="11.25" bestFit="1" customWidth="1"/>
    <col min="701" max="701" width="8.75" bestFit="1" customWidth="1"/>
    <col min="702" max="702" width="6.5" bestFit="1" customWidth="1"/>
    <col min="703" max="703" width="8.75" bestFit="1" customWidth="1"/>
    <col min="704" max="704" width="6.5" bestFit="1" customWidth="1"/>
    <col min="705" max="705" width="8.75" bestFit="1" customWidth="1"/>
    <col min="706" max="706" width="6.5" bestFit="1" customWidth="1"/>
    <col min="707" max="707" width="8.75" bestFit="1" customWidth="1"/>
    <col min="708" max="708" width="6.5" bestFit="1" customWidth="1"/>
    <col min="709" max="709" width="8.75" bestFit="1" customWidth="1"/>
    <col min="710" max="710" width="6.5" bestFit="1" customWidth="1"/>
    <col min="711" max="711" width="8.75" bestFit="1" customWidth="1"/>
    <col min="712" max="712" width="6.5" bestFit="1" customWidth="1"/>
    <col min="713" max="713" width="8.75" bestFit="1" customWidth="1"/>
    <col min="714" max="714" width="6.5" bestFit="1" customWidth="1"/>
    <col min="715" max="715" width="8.75" bestFit="1" customWidth="1"/>
    <col min="716" max="716" width="6.5" bestFit="1" customWidth="1"/>
    <col min="717" max="717" width="8.75" bestFit="1" customWidth="1"/>
    <col min="718" max="718" width="6.5" bestFit="1" customWidth="1"/>
    <col min="719" max="719" width="8.75" bestFit="1" customWidth="1"/>
    <col min="720" max="720" width="6.5" bestFit="1" customWidth="1"/>
    <col min="721" max="721" width="8.75" bestFit="1" customWidth="1"/>
    <col min="722" max="722" width="6.5" bestFit="1" customWidth="1"/>
    <col min="723" max="723" width="8.75" bestFit="1" customWidth="1"/>
    <col min="724" max="724" width="6.5" bestFit="1" customWidth="1"/>
    <col min="725" max="725" width="8.75" bestFit="1" customWidth="1"/>
    <col min="726" max="726" width="6.5" bestFit="1" customWidth="1"/>
    <col min="727" max="727" width="8.75" bestFit="1" customWidth="1"/>
    <col min="728" max="728" width="11.25" bestFit="1" customWidth="1"/>
    <col min="729" max="729" width="8.75" bestFit="1" customWidth="1"/>
    <col min="730" max="730" width="6.5" bestFit="1" customWidth="1"/>
    <col min="731" max="731" width="8.75" bestFit="1" customWidth="1"/>
    <col min="732" max="732" width="6.5" bestFit="1" customWidth="1"/>
    <col min="733" max="733" width="8.75" bestFit="1" customWidth="1"/>
    <col min="734" max="734" width="6.5" bestFit="1" customWidth="1"/>
    <col min="735" max="735" width="8.75" bestFit="1" customWidth="1"/>
    <col min="736" max="736" width="6.5" bestFit="1" customWidth="1"/>
    <col min="737" max="737" width="8.75" bestFit="1" customWidth="1"/>
    <col min="738" max="738" width="11.25" bestFit="1" customWidth="1"/>
    <col min="739" max="739" width="8.75" bestFit="1" customWidth="1"/>
    <col min="740" max="740" width="11.25" bestFit="1" customWidth="1"/>
    <col min="741" max="741" width="8.75" bestFit="1" customWidth="1"/>
    <col min="742" max="742" width="11.25" bestFit="1" customWidth="1"/>
    <col min="743" max="743" width="8.75" bestFit="1" customWidth="1"/>
    <col min="744" max="744" width="11.25" bestFit="1" customWidth="1"/>
    <col min="745" max="745" width="8.75" bestFit="1" customWidth="1"/>
    <col min="746" max="746" width="11.25" bestFit="1" customWidth="1"/>
    <col min="747" max="747" width="8.75" bestFit="1" customWidth="1"/>
    <col min="748" max="748" width="6.5" bestFit="1" customWidth="1"/>
    <col min="749" max="749" width="8.75" bestFit="1" customWidth="1"/>
    <col min="750" max="750" width="6.5" bestFit="1" customWidth="1"/>
    <col min="751" max="751" width="8.75" bestFit="1" customWidth="1"/>
    <col min="752" max="752" width="6.5" bestFit="1" customWidth="1"/>
    <col min="753" max="753" width="8.75" bestFit="1" customWidth="1"/>
    <col min="754" max="754" width="6.5" bestFit="1" customWidth="1"/>
    <col min="755" max="755" width="8.75" bestFit="1" customWidth="1"/>
    <col min="756" max="756" width="6.5" bestFit="1" customWidth="1"/>
    <col min="757" max="757" width="8.75" bestFit="1" customWidth="1"/>
    <col min="758" max="758" width="6.5" bestFit="1" customWidth="1"/>
    <col min="759" max="759" width="8.75" bestFit="1" customWidth="1"/>
    <col min="760" max="760" width="6.5" bestFit="1" customWidth="1"/>
    <col min="761" max="761" width="8.75" bestFit="1" customWidth="1"/>
    <col min="762" max="762" width="6.5" bestFit="1" customWidth="1"/>
    <col min="763" max="763" width="8.75" bestFit="1" customWidth="1"/>
    <col min="764" max="764" width="6.5" bestFit="1" customWidth="1"/>
    <col min="765" max="765" width="8.75" bestFit="1" customWidth="1"/>
    <col min="766" max="766" width="6.5" bestFit="1" customWidth="1"/>
    <col min="767" max="767" width="8.75" bestFit="1" customWidth="1"/>
    <col min="768" max="768" width="6.5" bestFit="1" customWidth="1"/>
    <col min="769" max="769" width="8.75" bestFit="1" customWidth="1"/>
    <col min="770" max="770" width="6.5" bestFit="1" customWidth="1"/>
    <col min="771" max="771" width="8.75" bestFit="1" customWidth="1"/>
    <col min="772" max="772" width="6.5" bestFit="1" customWidth="1"/>
    <col min="773" max="773" width="8.75" bestFit="1" customWidth="1"/>
    <col min="774" max="774" width="6.5" bestFit="1" customWidth="1"/>
    <col min="775" max="775" width="8.75" bestFit="1" customWidth="1"/>
    <col min="776" max="776" width="6.5" bestFit="1" customWidth="1"/>
    <col min="777" max="777" width="8.75" bestFit="1" customWidth="1"/>
    <col min="778" max="778" width="11.25" bestFit="1" customWidth="1"/>
    <col min="779" max="779" width="8.75" bestFit="1" customWidth="1"/>
    <col min="780" max="780" width="6.5" bestFit="1" customWidth="1"/>
    <col min="781" max="781" width="8.75" bestFit="1" customWidth="1"/>
    <col min="782" max="782" width="11.25" bestFit="1" customWidth="1"/>
    <col min="783" max="783" width="8.75" bestFit="1" customWidth="1"/>
    <col min="784" max="784" width="11.25" bestFit="1" customWidth="1"/>
    <col min="785" max="785" width="8.75" bestFit="1" customWidth="1"/>
    <col min="786" max="786" width="11.25" bestFit="1" customWidth="1"/>
    <col min="787" max="787" width="8.75" bestFit="1" customWidth="1"/>
    <col min="788" max="788" width="11.25" bestFit="1" customWidth="1"/>
    <col min="789" max="789" width="8.75" bestFit="1" customWidth="1"/>
    <col min="790" max="790" width="6.5" bestFit="1" customWidth="1"/>
    <col min="791" max="791" width="8.75" bestFit="1" customWidth="1"/>
    <col min="792" max="792" width="6.5" bestFit="1" customWidth="1"/>
    <col min="793" max="793" width="8.75" bestFit="1" customWidth="1"/>
    <col min="794" max="794" width="6.5" bestFit="1" customWidth="1"/>
    <col min="795" max="795" width="8.75" bestFit="1" customWidth="1"/>
    <col min="796" max="796" width="6.5" bestFit="1" customWidth="1"/>
    <col min="797" max="797" width="8.75" bestFit="1" customWidth="1"/>
    <col min="798" max="798" width="6.5" bestFit="1" customWidth="1"/>
    <col min="799" max="799" width="8.75" bestFit="1" customWidth="1"/>
    <col min="800" max="800" width="6.5" bestFit="1" customWidth="1"/>
    <col min="801" max="801" width="8.75" bestFit="1" customWidth="1"/>
    <col min="802" max="802" width="6.5" bestFit="1" customWidth="1"/>
    <col min="803" max="803" width="8.75" bestFit="1" customWidth="1"/>
    <col min="804" max="804" width="6.5" bestFit="1" customWidth="1"/>
    <col min="805" max="805" width="8.75" bestFit="1" customWidth="1"/>
    <col min="806" max="806" width="6.5" bestFit="1" customWidth="1"/>
    <col min="807" max="807" width="8.75" bestFit="1" customWidth="1"/>
    <col min="808" max="808" width="6.5" bestFit="1" customWidth="1"/>
    <col min="809" max="809" width="8.75" bestFit="1" customWidth="1"/>
    <col min="810" max="810" width="11.25" bestFit="1" customWidth="1"/>
    <col min="811" max="811" width="8.75" bestFit="1" customWidth="1"/>
    <col min="812" max="812" width="11.25" bestFit="1" customWidth="1"/>
    <col min="813" max="813" width="8.75" bestFit="1" customWidth="1"/>
    <col min="814" max="814" width="6.5" bestFit="1" customWidth="1"/>
    <col min="815" max="815" width="8.75" bestFit="1" customWidth="1"/>
    <col min="816" max="816" width="6.5" bestFit="1" customWidth="1"/>
    <col min="817" max="817" width="8.75" bestFit="1" customWidth="1"/>
    <col min="818" max="818" width="11.25" bestFit="1" customWidth="1"/>
    <col min="819" max="819" width="8.75" bestFit="1" customWidth="1"/>
    <col min="820" max="820" width="11.25" bestFit="1" customWidth="1"/>
    <col min="821" max="821" width="8.75" bestFit="1" customWidth="1"/>
    <col min="822" max="822" width="6.5" bestFit="1" customWidth="1"/>
    <col min="823" max="823" width="8.75" bestFit="1" customWidth="1"/>
    <col min="824" max="824" width="11.25" bestFit="1" customWidth="1"/>
    <col min="825" max="825" width="8.75" bestFit="1" customWidth="1"/>
    <col min="826" max="826" width="6.5" bestFit="1" customWidth="1"/>
    <col min="827" max="827" width="8.75" bestFit="1" customWidth="1"/>
    <col min="828" max="828" width="6.5" bestFit="1" customWidth="1"/>
    <col min="829" max="829" width="8.75" bestFit="1" customWidth="1"/>
    <col min="830" max="830" width="6.5" bestFit="1" customWidth="1"/>
    <col min="831" max="831" width="8.75" bestFit="1" customWidth="1"/>
    <col min="832" max="832" width="6.5" bestFit="1" customWidth="1"/>
    <col min="833" max="833" width="8.75" bestFit="1" customWidth="1"/>
    <col min="834" max="834" width="6.5" bestFit="1" customWidth="1"/>
    <col min="835" max="835" width="8.75" bestFit="1" customWidth="1"/>
    <col min="836" max="836" width="6.5" bestFit="1" customWidth="1"/>
    <col min="837" max="837" width="8.75" bestFit="1" customWidth="1"/>
    <col min="838" max="838" width="6.5" bestFit="1" customWidth="1"/>
    <col min="839" max="839" width="8.75" bestFit="1" customWidth="1"/>
    <col min="840" max="840" width="11.25" bestFit="1" customWidth="1"/>
    <col min="841" max="841" width="8.75" bestFit="1" customWidth="1"/>
    <col min="842" max="842" width="6.5" bestFit="1" customWidth="1"/>
    <col min="843" max="843" width="8.75" bestFit="1" customWidth="1"/>
    <col min="844" max="844" width="11.25" bestFit="1" customWidth="1"/>
    <col min="845" max="845" width="8.75" bestFit="1" customWidth="1"/>
    <col min="846" max="846" width="11.25" bestFit="1" customWidth="1"/>
    <col min="847" max="847" width="8.75" bestFit="1" customWidth="1"/>
    <col min="848" max="848" width="6.5" bestFit="1" customWidth="1"/>
    <col min="849" max="849" width="8.75" bestFit="1" customWidth="1"/>
    <col min="850" max="850" width="6.5" bestFit="1" customWidth="1"/>
    <col min="851" max="851" width="8.75" bestFit="1" customWidth="1"/>
    <col min="852" max="852" width="11.25" bestFit="1" customWidth="1"/>
    <col min="853" max="853" width="8.75" bestFit="1" customWidth="1"/>
    <col min="854" max="854" width="11.25" bestFit="1" customWidth="1"/>
    <col min="855" max="855" width="8.75" bestFit="1" customWidth="1"/>
    <col min="856" max="856" width="6.5" bestFit="1" customWidth="1"/>
    <col min="857" max="857" width="8.75" bestFit="1" customWidth="1"/>
    <col min="858" max="858" width="6.5" bestFit="1" customWidth="1"/>
    <col min="859" max="859" width="8.75" bestFit="1" customWidth="1"/>
    <col min="860" max="860" width="6.5" bestFit="1" customWidth="1"/>
    <col min="861" max="861" width="8.75" bestFit="1" customWidth="1"/>
    <col min="862" max="862" width="6.5" bestFit="1" customWidth="1"/>
    <col min="863" max="863" width="8.75" bestFit="1" customWidth="1"/>
    <col min="864" max="864" width="6.5" bestFit="1" customWidth="1"/>
    <col min="865" max="865" width="8.75" bestFit="1" customWidth="1"/>
    <col min="866" max="866" width="11.25" bestFit="1" customWidth="1"/>
    <col min="867" max="867" width="8.75" bestFit="1" customWidth="1"/>
    <col min="868" max="868" width="6.5" bestFit="1" customWidth="1"/>
    <col min="869" max="869" width="8.75" bestFit="1" customWidth="1"/>
    <col min="870" max="870" width="6.5" bestFit="1" customWidth="1"/>
    <col min="871" max="871" width="8.75" bestFit="1" customWidth="1"/>
    <col min="872" max="872" width="6.5" bestFit="1" customWidth="1"/>
    <col min="873" max="873" width="8.75" bestFit="1" customWidth="1"/>
    <col min="874" max="874" width="6.5" bestFit="1" customWidth="1"/>
    <col min="875" max="875" width="8.75" bestFit="1" customWidth="1"/>
    <col min="876" max="876" width="6.5" bestFit="1" customWidth="1"/>
    <col min="877" max="877" width="8.75" bestFit="1" customWidth="1"/>
    <col min="878" max="878" width="6.5" bestFit="1" customWidth="1"/>
    <col min="879" max="879" width="8.75" bestFit="1" customWidth="1"/>
    <col min="880" max="880" width="6.5" bestFit="1" customWidth="1"/>
    <col min="881" max="881" width="8.75" bestFit="1" customWidth="1"/>
    <col min="882" max="882" width="6.5" bestFit="1" customWidth="1"/>
    <col min="883" max="883" width="8.75" bestFit="1" customWidth="1"/>
    <col min="884" max="884" width="6.5" bestFit="1" customWidth="1"/>
    <col min="885" max="885" width="8.75" bestFit="1" customWidth="1"/>
    <col min="886" max="886" width="11.25" bestFit="1" customWidth="1"/>
    <col min="887" max="887" width="8.75" bestFit="1" customWidth="1"/>
    <col min="888" max="888" width="6.5" bestFit="1" customWidth="1"/>
    <col min="889" max="889" width="8.75" bestFit="1" customWidth="1"/>
    <col min="890" max="890" width="6.5" bestFit="1" customWidth="1"/>
    <col min="891" max="891" width="8.75" bestFit="1" customWidth="1"/>
    <col min="892" max="892" width="11.25" bestFit="1" customWidth="1"/>
    <col min="893" max="893" width="8.75" bestFit="1" customWidth="1"/>
    <col min="894" max="894" width="11.25" bestFit="1" customWidth="1"/>
    <col min="895" max="895" width="8.75" bestFit="1" customWidth="1"/>
    <col min="896" max="896" width="6.5" bestFit="1" customWidth="1"/>
    <col min="897" max="897" width="8.75" bestFit="1" customWidth="1"/>
    <col min="898" max="898" width="11.25" bestFit="1" customWidth="1"/>
    <col min="899" max="899" width="8.75" bestFit="1" customWidth="1"/>
    <col min="900" max="900" width="6.5" bestFit="1" customWidth="1"/>
    <col min="901" max="901" width="8.75" bestFit="1" customWidth="1"/>
    <col min="902" max="902" width="6.5" bestFit="1" customWidth="1"/>
    <col min="903" max="903" width="8.75" bestFit="1" customWidth="1"/>
    <col min="904" max="904" width="6.5" bestFit="1" customWidth="1"/>
    <col min="905" max="905" width="8.75" bestFit="1" customWidth="1"/>
    <col min="906" max="906" width="11.25" bestFit="1" customWidth="1"/>
    <col min="907" max="907" width="8.75" bestFit="1" customWidth="1"/>
    <col min="908" max="908" width="6.5" bestFit="1" customWidth="1"/>
    <col min="909" max="909" width="8.75" bestFit="1" customWidth="1"/>
    <col min="910" max="910" width="6.5" bestFit="1" customWidth="1"/>
    <col min="911" max="911" width="8.75" bestFit="1" customWidth="1"/>
    <col min="912" max="912" width="6.5" bestFit="1" customWidth="1"/>
    <col min="913" max="913" width="8.75" bestFit="1" customWidth="1"/>
    <col min="914" max="914" width="6.5" bestFit="1" customWidth="1"/>
    <col min="915" max="915" width="8.75" bestFit="1" customWidth="1"/>
    <col min="916" max="916" width="6.5" bestFit="1" customWidth="1"/>
    <col min="917" max="917" width="8.75" bestFit="1" customWidth="1"/>
    <col min="918" max="918" width="11.25" bestFit="1" customWidth="1"/>
    <col min="919" max="919" width="8.75" bestFit="1" customWidth="1"/>
    <col min="920" max="920" width="6.5" bestFit="1" customWidth="1"/>
    <col min="921" max="921" width="8.75" bestFit="1" customWidth="1"/>
    <col min="922" max="922" width="11.25" bestFit="1" customWidth="1"/>
    <col min="923" max="923" width="8.75" bestFit="1" customWidth="1"/>
    <col min="924" max="924" width="6.5" bestFit="1" customWidth="1"/>
    <col min="925" max="925" width="8.75" bestFit="1" customWidth="1"/>
    <col min="926" max="926" width="6.5" bestFit="1" customWidth="1"/>
    <col min="927" max="927" width="8.75" bestFit="1" customWidth="1"/>
    <col min="928" max="928" width="6.5" bestFit="1" customWidth="1"/>
    <col min="929" max="929" width="8.75" bestFit="1" customWidth="1"/>
    <col min="930" max="930" width="6.5" bestFit="1" customWidth="1"/>
    <col min="931" max="931" width="8.75" bestFit="1" customWidth="1"/>
    <col min="932" max="932" width="6.5" bestFit="1" customWidth="1"/>
    <col min="933" max="933" width="8.75" bestFit="1" customWidth="1"/>
    <col min="934" max="934" width="6.5" bestFit="1" customWidth="1"/>
    <col min="935" max="935" width="8.75" bestFit="1" customWidth="1"/>
    <col min="936" max="936" width="6.5" bestFit="1" customWidth="1"/>
    <col min="937" max="937" width="8.75" bestFit="1" customWidth="1"/>
    <col min="938" max="938" width="11.25" bestFit="1" customWidth="1"/>
    <col min="939" max="939" width="8.75" bestFit="1" customWidth="1"/>
    <col min="940" max="940" width="6.5" bestFit="1" customWidth="1"/>
    <col min="941" max="941" width="8.75" bestFit="1" customWidth="1"/>
    <col min="942" max="942" width="6.5" bestFit="1" customWidth="1"/>
    <col min="943" max="943" width="8.75" bestFit="1" customWidth="1"/>
    <col min="944" max="944" width="6.5" bestFit="1" customWidth="1"/>
    <col min="945" max="945" width="8.75" bestFit="1" customWidth="1"/>
    <col min="946" max="946" width="6.5" bestFit="1" customWidth="1"/>
    <col min="947" max="947" width="8.75" bestFit="1" customWidth="1"/>
    <col min="948" max="948" width="11.25" bestFit="1" customWidth="1"/>
    <col min="949" max="949" width="8.75" bestFit="1" customWidth="1"/>
    <col min="950" max="950" width="11.25" bestFit="1" customWidth="1"/>
    <col min="951" max="951" width="8.75" bestFit="1" customWidth="1"/>
    <col min="952" max="952" width="11.25" bestFit="1" customWidth="1"/>
    <col min="953" max="953" width="8.75" bestFit="1" customWidth="1"/>
    <col min="954" max="954" width="6.5" bestFit="1" customWidth="1"/>
    <col min="955" max="955" width="8.75" bestFit="1" customWidth="1"/>
    <col min="956" max="956" width="6.5" bestFit="1" customWidth="1"/>
    <col min="957" max="957" width="8.75" bestFit="1" customWidth="1"/>
    <col min="958" max="958" width="6.5" bestFit="1" customWidth="1"/>
    <col min="959" max="959" width="8.75" bestFit="1" customWidth="1"/>
    <col min="960" max="960" width="6.5" bestFit="1" customWidth="1"/>
    <col min="961" max="961" width="8.75" bestFit="1" customWidth="1"/>
    <col min="962" max="962" width="6.5" bestFit="1" customWidth="1"/>
    <col min="963" max="963" width="8.75" bestFit="1" customWidth="1"/>
    <col min="964" max="964" width="11.25" bestFit="1" customWidth="1"/>
    <col min="965" max="965" width="8.75" bestFit="1" customWidth="1"/>
    <col min="966" max="966" width="6.5" bestFit="1" customWidth="1"/>
    <col min="967" max="967" width="8.75" bestFit="1" customWidth="1"/>
    <col min="968" max="968" width="11.25" bestFit="1" customWidth="1"/>
    <col min="969" max="969" width="8.75" bestFit="1" customWidth="1"/>
    <col min="970" max="970" width="11.25" bestFit="1" customWidth="1"/>
    <col min="971" max="971" width="8.75" bestFit="1" customWidth="1"/>
    <col min="972" max="972" width="6.5" bestFit="1" customWidth="1"/>
    <col min="973" max="973" width="8.75" bestFit="1" customWidth="1"/>
    <col min="974" max="974" width="6.5" bestFit="1" customWidth="1"/>
    <col min="975" max="975" width="8.75" bestFit="1" customWidth="1"/>
    <col min="976" max="976" width="6.5" bestFit="1" customWidth="1"/>
    <col min="977" max="977" width="8.75" bestFit="1" customWidth="1"/>
    <col min="978" max="978" width="6.5" bestFit="1" customWidth="1"/>
    <col min="979" max="979" width="8.75" bestFit="1" customWidth="1"/>
    <col min="980" max="980" width="6.5" bestFit="1" customWidth="1"/>
    <col min="981" max="981" width="8.75" bestFit="1" customWidth="1"/>
    <col min="982" max="982" width="6.5" bestFit="1" customWidth="1"/>
    <col min="983" max="983" width="8.75" bestFit="1" customWidth="1"/>
    <col min="984" max="984" width="6.5" bestFit="1" customWidth="1"/>
    <col min="985" max="985" width="8.75" bestFit="1" customWidth="1"/>
    <col min="986" max="986" width="6.5" bestFit="1" customWidth="1"/>
    <col min="987" max="987" width="8.75" bestFit="1" customWidth="1"/>
    <col min="988" max="988" width="6.5" bestFit="1" customWidth="1"/>
    <col min="989" max="989" width="8.75" bestFit="1" customWidth="1"/>
    <col min="990" max="990" width="11.25" bestFit="1" customWidth="1"/>
    <col min="991" max="991" width="8.75" bestFit="1" customWidth="1"/>
    <col min="992" max="992" width="11.25" bestFit="1" customWidth="1"/>
    <col min="993" max="993" width="8.75" bestFit="1" customWidth="1"/>
    <col min="994" max="994" width="6.5" bestFit="1" customWidth="1"/>
    <col min="995" max="995" width="8.75" bestFit="1" customWidth="1"/>
    <col min="996" max="996" width="6.5" bestFit="1" customWidth="1"/>
    <col min="997" max="997" width="8.75" bestFit="1" customWidth="1"/>
    <col min="998" max="998" width="6.5" bestFit="1" customWidth="1"/>
    <col min="999" max="999" width="8.75" bestFit="1" customWidth="1"/>
    <col min="1000" max="1000" width="6.5" bestFit="1" customWidth="1"/>
    <col min="1001" max="1001" width="8.75" bestFit="1" customWidth="1"/>
    <col min="1002" max="1002" width="6.5" bestFit="1" customWidth="1"/>
    <col min="1003" max="1003" width="8.75" bestFit="1" customWidth="1"/>
    <col min="1004" max="1004" width="6.5" bestFit="1" customWidth="1"/>
    <col min="1005" max="1005" width="8.75" bestFit="1" customWidth="1"/>
    <col min="1006" max="1006" width="6.5" bestFit="1" customWidth="1"/>
    <col min="1007" max="1007" width="8.75" bestFit="1" customWidth="1"/>
    <col min="1008" max="1008" width="6.5" bestFit="1" customWidth="1"/>
    <col min="1009" max="1009" width="8.75" bestFit="1" customWidth="1"/>
    <col min="1010" max="1010" width="11.25" bestFit="1" customWidth="1"/>
    <col min="1011" max="1011" width="8.75" bestFit="1" customWidth="1"/>
    <col min="1012" max="1012" width="6.5" bestFit="1" customWidth="1"/>
    <col min="1013" max="1013" width="8.75" bestFit="1" customWidth="1"/>
    <col min="1014" max="1014" width="6.5" bestFit="1" customWidth="1"/>
    <col min="1015" max="1015" width="8.75" bestFit="1" customWidth="1"/>
    <col min="1016" max="1016" width="6.5" bestFit="1" customWidth="1"/>
    <col min="1017" max="1017" width="8.75" bestFit="1" customWidth="1"/>
    <col min="1018" max="1018" width="6.5" bestFit="1" customWidth="1"/>
    <col min="1019" max="1019" width="8.75" bestFit="1" customWidth="1"/>
    <col min="1020" max="1020" width="6.5" bestFit="1" customWidth="1"/>
    <col min="1021" max="1021" width="8.75" bestFit="1" customWidth="1"/>
    <col min="1022" max="1022" width="6.5" bestFit="1" customWidth="1"/>
    <col min="1023" max="1023" width="8.75" bestFit="1" customWidth="1"/>
    <col min="1024" max="1024" width="6.5" bestFit="1" customWidth="1"/>
    <col min="1025" max="1025" width="8.75" bestFit="1" customWidth="1"/>
    <col min="1026" max="1026" width="11.25" bestFit="1" customWidth="1"/>
    <col min="1027" max="1027" width="8.75" bestFit="1" customWidth="1"/>
    <col min="1028" max="1028" width="11.25" bestFit="1" customWidth="1"/>
    <col min="1029" max="1029" width="8.75" bestFit="1" customWidth="1"/>
    <col min="1030" max="1030" width="6.5" bestFit="1" customWidth="1"/>
    <col min="1031" max="1031" width="8.75" bestFit="1" customWidth="1"/>
    <col min="1032" max="1032" width="6.5" bestFit="1" customWidth="1"/>
    <col min="1033" max="1033" width="8.75" bestFit="1" customWidth="1"/>
    <col min="1034" max="1034" width="6.5" bestFit="1" customWidth="1"/>
    <col min="1035" max="1035" width="8.75" bestFit="1" customWidth="1"/>
    <col min="1036" max="1036" width="6.5" bestFit="1" customWidth="1"/>
    <col min="1037" max="1037" width="8.75" bestFit="1" customWidth="1"/>
    <col min="1038" max="1038" width="6.5" bestFit="1" customWidth="1"/>
    <col min="1039" max="1039" width="8.75" bestFit="1" customWidth="1"/>
    <col min="1040" max="1040" width="6.5" bestFit="1" customWidth="1"/>
    <col min="1041" max="1041" width="8.75" bestFit="1" customWidth="1"/>
    <col min="1042" max="1042" width="6.5" bestFit="1" customWidth="1"/>
    <col min="1043" max="1043" width="8.75" bestFit="1" customWidth="1"/>
    <col min="1044" max="1044" width="6.5" bestFit="1" customWidth="1"/>
    <col min="1045" max="1045" width="8.75" bestFit="1" customWidth="1"/>
    <col min="1046" max="1046" width="6.5" bestFit="1" customWidth="1"/>
    <col min="1047" max="1047" width="8.75" bestFit="1" customWidth="1"/>
    <col min="1048" max="1048" width="6.5" bestFit="1" customWidth="1"/>
    <col min="1049" max="1049" width="8.75" bestFit="1" customWidth="1"/>
    <col min="1050" max="1050" width="6.5" bestFit="1" customWidth="1"/>
    <col min="1051" max="1051" width="8.75" bestFit="1" customWidth="1"/>
    <col min="1052" max="1052" width="6.5" bestFit="1" customWidth="1"/>
    <col min="1053" max="1053" width="8.75" bestFit="1" customWidth="1"/>
    <col min="1054" max="1054" width="6.5" bestFit="1" customWidth="1"/>
    <col min="1055" max="1055" width="8.75" bestFit="1" customWidth="1"/>
    <col min="1056" max="1056" width="6.5" bestFit="1" customWidth="1"/>
    <col min="1057" max="1057" width="8.75" bestFit="1" customWidth="1"/>
    <col min="1058" max="1058" width="6.5" bestFit="1" customWidth="1"/>
    <col min="1059" max="1059" width="8.75" bestFit="1" customWidth="1"/>
    <col min="1060" max="1060" width="11.25" bestFit="1" customWidth="1"/>
    <col min="1061" max="1061" width="8.75" bestFit="1" customWidth="1"/>
    <col min="1062" max="1062" width="6.5" bestFit="1" customWidth="1"/>
    <col min="1063" max="1063" width="8.75" bestFit="1" customWidth="1"/>
    <col min="1064" max="1064" width="6.5" bestFit="1" customWidth="1"/>
    <col min="1065" max="1065" width="8.75" bestFit="1" customWidth="1"/>
    <col min="1066" max="1066" width="11.25" bestFit="1" customWidth="1"/>
    <col min="1067" max="1067" width="8.75" bestFit="1" customWidth="1"/>
    <col min="1068" max="1068" width="6.5" bestFit="1" customWidth="1"/>
    <col min="1069" max="1069" width="8.75" bestFit="1" customWidth="1"/>
    <col min="1070" max="1070" width="6.5" bestFit="1" customWidth="1"/>
    <col min="1071" max="1071" width="8.75" bestFit="1" customWidth="1"/>
    <col min="1072" max="1072" width="6.5" bestFit="1" customWidth="1"/>
    <col min="1073" max="1073" width="8.75" bestFit="1" customWidth="1"/>
    <col min="1074" max="1074" width="11.25" bestFit="1" customWidth="1"/>
    <col min="1075" max="1075" width="8.75" bestFit="1" customWidth="1"/>
    <col min="1076" max="1076" width="11.25" bestFit="1" customWidth="1"/>
    <col min="1077" max="1077" width="8.75" bestFit="1" customWidth="1"/>
    <col min="1078" max="1078" width="11.25" bestFit="1" customWidth="1"/>
    <col min="1079" max="1079" width="8.75" bestFit="1" customWidth="1"/>
    <col min="1080" max="1080" width="6.5" bestFit="1" customWidth="1"/>
    <col min="1081" max="1081" width="8.75" bestFit="1" customWidth="1"/>
    <col min="1082" max="1082" width="6.5" bestFit="1" customWidth="1"/>
    <col min="1083" max="1083" width="8.75" bestFit="1" customWidth="1"/>
    <col min="1084" max="1084" width="11.25" bestFit="1" customWidth="1"/>
    <col min="1085" max="1085" width="8.75" bestFit="1" customWidth="1"/>
    <col min="1086" max="1086" width="6.5" bestFit="1" customWidth="1"/>
    <col min="1087" max="1087" width="8.75" bestFit="1" customWidth="1"/>
    <col min="1088" max="1088" width="11.25" bestFit="1" customWidth="1"/>
    <col min="1089" max="1089" width="8.75" bestFit="1" customWidth="1"/>
    <col min="1090" max="1090" width="11.25" bestFit="1" customWidth="1"/>
    <col min="1091" max="1091" width="8.75" bestFit="1" customWidth="1"/>
    <col min="1092" max="1092" width="6.5" bestFit="1" customWidth="1"/>
    <col min="1093" max="1093" width="8.75" bestFit="1" customWidth="1"/>
    <col min="1094" max="1094" width="6.5" bestFit="1" customWidth="1"/>
    <col min="1095" max="1095" width="8.75" bestFit="1" customWidth="1"/>
    <col min="1096" max="1096" width="6.5" bestFit="1" customWidth="1"/>
    <col min="1097" max="1097" width="8.75" bestFit="1" customWidth="1"/>
    <col min="1098" max="1098" width="6.5" bestFit="1" customWidth="1"/>
    <col min="1099" max="1099" width="8.75" bestFit="1" customWidth="1"/>
    <col min="1100" max="1100" width="6.5" bestFit="1" customWidth="1"/>
    <col min="1101" max="1101" width="8.75" bestFit="1" customWidth="1"/>
    <col min="1102" max="1102" width="6.5" bestFit="1" customWidth="1"/>
    <col min="1103" max="1103" width="8.75" bestFit="1" customWidth="1"/>
    <col min="1104" max="1104" width="6.5" bestFit="1" customWidth="1"/>
    <col min="1105" max="1105" width="8.75" bestFit="1" customWidth="1"/>
    <col min="1106" max="1106" width="11.25" bestFit="1" customWidth="1"/>
    <col min="1107" max="1107" width="8.75" bestFit="1" customWidth="1"/>
    <col min="1108" max="1108" width="6.5" bestFit="1" customWidth="1"/>
    <col min="1109" max="1109" width="8.75" bestFit="1" customWidth="1"/>
    <col min="1110" max="1110" width="11.25" bestFit="1" customWidth="1"/>
    <col min="1111" max="1111" width="8.75" bestFit="1" customWidth="1"/>
    <col min="1112" max="1112" width="11.25" bestFit="1" customWidth="1"/>
    <col min="1113" max="1113" width="8.75" bestFit="1" customWidth="1"/>
    <col min="1114" max="1114" width="11.25" bestFit="1" customWidth="1"/>
    <col min="1115" max="1115" width="8.75" bestFit="1" customWidth="1"/>
    <col min="1116" max="1116" width="6.5" bestFit="1" customWidth="1"/>
    <col min="1117" max="1117" width="8.75" bestFit="1" customWidth="1"/>
    <col min="1118" max="1118" width="6.5" bestFit="1" customWidth="1"/>
    <col min="1119" max="1119" width="8.75" bestFit="1" customWidth="1"/>
    <col min="1120" max="1120" width="11.25" bestFit="1" customWidth="1"/>
    <col min="1121" max="1121" width="8.75" bestFit="1" customWidth="1"/>
    <col min="1122" max="1122" width="6.5" bestFit="1" customWidth="1"/>
    <col min="1123" max="1123" width="8.75" bestFit="1" customWidth="1"/>
    <col min="1124" max="1124" width="6.5" bestFit="1" customWidth="1"/>
    <col min="1125" max="1125" width="8.75" bestFit="1" customWidth="1"/>
    <col min="1126" max="1126" width="11.25" bestFit="1" customWidth="1"/>
    <col min="1127" max="1127" width="8.75" bestFit="1" customWidth="1"/>
    <col min="1128" max="1128" width="6.5" bestFit="1" customWidth="1"/>
    <col min="1129" max="1129" width="8.75" bestFit="1" customWidth="1"/>
    <col min="1130" max="1130" width="6.5" bestFit="1" customWidth="1"/>
    <col min="1131" max="1131" width="8.75" bestFit="1" customWidth="1"/>
    <col min="1132" max="1132" width="6.5" bestFit="1" customWidth="1"/>
    <col min="1133" max="1133" width="8.75" bestFit="1" customWidth="1"/>
    <col min="1134" max="1134" width="11.25" bestFit="1" customWidth="1"/>
    <col min="1135" max="1135" width="8.75" bestFit="1" customWidth="1"/>
    <col min="1136" max="1136" width="6.5" bestFit="1" customWidth="1"/>
    <col min="1137" max="1137" width="8.75" bestFit="1" customWidth="1"/>
    <col min="1138" max="1138" width="6.5" bestFit="1" customWidth="1"/>
    <col min="1139" max="1139" width="8.75" bestFit="1" customWidth="1"/>
    <col min="1140" max="1140" width="6.5" bestFit="1" customWidth="1"/>
    <col min="1141" max="1141" width="8.75" bestFit="1" customWidth="1"/>
    <col min="1142" max="1142" width="6.5" bestFit="1" customWidth="1"/>
    <col min="1143" max="1143" width="8.75" bestFit="1" customWidth="1"/>
    <col min="1144" max="1144" width="6.5" bestFit="1" customWidth="1"/>
    <col min="1145" max="1145" width="8.75" bestFit="1" customWidth="1"/>
    <col min="1146" max="1146" width="6.5" bestFit="1" customWidth="1"/>
    <col min="1147" max="1147" width="8.75" bestFit="1" customWidth="1"/>
    <col min="1148" max="1148" width="6.5" bestFit="1" customWidth="1"/>
    <col min="1149" max="1149" width="8.75" bestFit="1" customWidth="1"/>
    <col min="1150" max="1150" width="6.5" bestFit="1" customWidth="1"/>
    <col min="1151" max="1151" width="8.75" bestFit="1" customWidth="1"/>
    <col min="1152" max="1152" width="6.5" bestFit="1" customWidth="1"/>
    <col min="1153" max="1153" width="8.75" bestFit="1" customWidth="1"/>
    <col min="1154" max="1154" width="11.25" bestFit="1" customWidth="1"/>
    <col min="1155" max="1155" width="8.75" bestFit="1" customWidth="1"/>
    <col min="1156" max="1156" width="6.5" bestFit="1" customWidth="1"/>
    <col min="1157" max="1157" width="8.75" bestFit="1" customWidth="1"/>
    <col min="1158" max="1158" width="6.5" bestFit="1" customWidth="1"/>
    <col min="1159" max="1159" width="8.75" bestFit="1" customWidth="1"/>
    <col min="1160" max="1160" width="6.5" bestFit="1" customWidth="1"/>
    <col min="1161" max="1161" width="8.75" bestFit="1" customWidth="1"/>
    <col min="1162" max="1162" width="6.5" bestFit="1" customWidth="1"/>
    <col min="1163" max="1163" width="8.75" bestFit="1" customWidth="1"/>
    <col min="1164" max="1164" width="6.5" bestFit="1" customWidth="1"/>
    <col min="1165" max="1165" width="8.75" bestFit="1" customWidth="1"/>
    <col min="1166" max="1166" width="11.25" bestFit="1" customWidth="1"/>
    <col min="1167" max="1167" width="8.75" bestFit="1" customWidth="1"/>
    <col min="1168" max="1168" width="11.25" bestFit="1" customWidth="1"/>
    <col min="1169" max="1169" width="8.75" bestFit="1" customWidth="1"/>
    <col min="1170" max="1170" width="11.25" bestFit="1" customWidth="1"/>
    <col min="1171" max="1171" width="8.75" bestFit="1" customWidth="1"/>
    <col min="1172" max="1172" width="6.5" bestFit="1" customWidth="1"/>
    <col min="1173" max="1173" width="8.75" bestFit="1" customWidth="1"/>
    <col min="1174" max="1174" width="6.5" bestFit="1" customWidth="1"/>
    <col min="1175" max="1175" width="8.75" bestFit="1" customWidth="1"/>
    <col min="1176" max="1176" width="6.5" bestFit="1" customWidth="1"/>
    <col min="1177" max="1177" width="8.75" bestFit="1" customWidth="1"/>
    <col min="1178" max="1178" width="6.5" bestFit="1" customWidth="1"/>
    <col min="1179" max="1179" width="8.75" bestFit="1" customWidth="1"/>
    <col min="1180" max="1180" width="6.5" bestFit="1" customWidth="1"/>
    <col min="1181" max="1181" width="8.75" bestFit="1" customWidth="1"/>
    <col min="1182" max="1182" width="6.5" bestFit="1" customWidth="1"/>
    <col min="1183" max="1183" width="8.75" bestFit="1" customWidth="1"/>
    <col min="1184" max="1184" width="6.5" bestFit="1" customWidth="1"/>
    <col min="1185" max="1185" width="8.75" bestFit="1" customWidth="1"/>
    <col min="1186" max="1186" width="6.5" bestFit="1" customWidth="1"/>
    <col min="1187" max="1187" width="8.75" bestFit="1" customWidth="1"/>
    <col min="1188" max="1188" width="11.25" bestFit="1" customWidth="1"/>
    <col min="1189" max="1189" width="8.75" bestFit="1" customWidth="1"/>
    <col min="1190" max="1190" width="11.25" bestFit="1" customWidth="1"/>
    <col min="1191" max="1191" width="8.75" bestFit="1" customWidth="1"/>
    <col min="1192" max="1192" width="6.5" bestFit="1" customWidth="1"/>
    <col min="1193" max="1193" width="8.75" bestFit="1" customWidth="1"/>
    <col min="1194" max="1194" width="11.25" bestFit="1" customWidth="1"/>
    <col min="1195" max="1195" width="8.75" bestFit="1" customWidth="1"/>
    <col min="1196" max="1196" width="6.5" bestFit="1" customWidth="1"/>
    <col min="1197" max="1197" width="8.75" bestFit="1" customWidth="1"/>
    <col min="1198" max="1198" width="11.25" bestFit="1" customWidth="1"/>
    <col min="1199" max="1199" width="8.75" bestFit="1" customWidth="1"/>
    <col min="1200" max="1200" width="6.5" bestFit="1" customWidth="1"/>
    <col min="1201" max="1201" width="8.75" bestFit="1" customWidth="1"/>
    <col min="1202" max="1202" width="11.25" bestFit="1" customWidth="1"/>
    <col min="1203" max="1203" width="8.75" bestFit="1" customWidth="1"/>
    <col min="1204" max="1204" width="11.25" bestFit="1" customWidth="1"/>
    <col min="1205" max="1205" width="8.75" bestFit="1" customWidth="1"/>
    <col min="1206" max="1206" width="6.5" bestFit="1" customWidth="1"/>
    <col min="1207" max="1207" width="8.75" bestFit="1" customWidth="1"/>
    <col min="1208" max="1208" width="11.25" bestFit="1" customWidth="1"/>
    <col min="1209" max="1209" width="8.75" bestFit="1" customWidth="1"/>
    <col min="1210" max="1210" width="6.5" bestFit="1" customWidth="1"/>
    <col min="1211" max="1211" width="8.75" bestFit="1" customWidth="1"/>
    <col min="1212" max="1212" width="11.25" bestFit="1" customWidth="1"/>
    <col min="1213" max="1213" width="8.75" bestFit="1" customWidth="1"/>
    <col min="1214" max="1214" width="6.5" bestFit="1" customWidth="1"/>
    <col min="1215" max="1215" width="8.75" bestFit="1" customWidth="1"/>
    <col min="1216" max="1216" width="6.5" bestFit="1" customWidth="1"/>
    <col min="1217" max="1217" width="8.75" bestFit="1" customWidth="1"/>
    <col min="1218" max="1218" width="6.5" bestFit="1" customWidth="1"/>
    <col min="1219" max="1219" width="8.75" bestFit="1" customWidth="1"/>
    <col min="1220" max="1220" width="11.25" bestFit="1" customWidth="1"/>
    <col min="1221" max="1221" width="8.75" bestFit="1" customWidth="1"/>
    <col min="1222" max="1222" width="6.5" bestFit="1" customWidth="1"/>
    <col min="1223" max="1223" width="8.75" bestFit="1" customWidth="1"/>
    <col min="1224" max="1224" width="6.5" bestFit="1" customWidth="1"/>
    <col min="1225" max="1225" width="8.75" bestFit="1" customWidth="1"/>
    <col min="1226" max="1226" width="6.5" bestFit="1" customWidth="1"/>
    <col min="1227" max="1227" width="8.75" bestFit="1" customWidth="1"/>
    <col min="1228" max="1228" width="6.5" bestFit="1" customWidth="1"/>
    <col min="1229" max="1229" width="8.75" bestFit="1" customWidth="1"/>
    <col min="1230" max="1230" width="6.5" bestFit="1" customWidth="1"/>
    <col min="1231" max="1231" width="8.75" bestFit="1" customWidth="1"/>
    <col min="1232" max="1232" width="6.5" bestFit="1" customWidth="1"/>
    <col min="1233" max="1233" width="8.75" bestFit="1" customWidth="1"/>
    <col min="1234" max="1234" width="6.5" bestFit="1" customWidth="1"/>
    <col min="1235" max="1235" width="8.75" bestFit="1" customWidth="1"/>
    <col min="1236" max="1236" width="11.25" bestFit="1" customWidth="1"/>
    <col min="1237" max="1237" width="8.75" bestFit="1" customWidth="1"/>
    <col min="1238" max="1238" width="6.5" bestFit="1" customWidth="1"/>
    <col min="1239" max="1239" width="8.75" bestFit="1" customWidth="1"/>
    <col min="1240" max="1240" width="6.5" bestFit="1" customWidth="1"/>
    <col min="1241" max="1241" width="8.75" bestFit="1" customWidth="1"/>
    <col min="1242" max="1242" width="6.5" bestFit="1" customWidth="1"/>
    <col min="1243" max="1243" width="8.75" bestFit="1" customWidth="1"/>
    <col min="1244" max="1244" width="6.5" bestFit="1" customWidth="1"/>
    <col min="1245" max="1245" width="8.75" bestFit="1" customWidth="1"/>
    <col min="1246" max="1246" width="6.5" bestFit="1" customWidth="1"/>
    <col min="1247" max="1247" width="8.75" bestFit="1" customWidth="1"/>
    <col min="1248" max="1248" width="6.5" bestFit="1" customWidth="1"/>
    <col min="1249" max="1249" width="8.75" bestFit="1" customWidth="1"/>
    <col min="1250" max="1250" width="6.5" bestFit="1" customWidth="1"/>
    <col min="1251" max="1251" width="8.75" bestFit="1" customWidth="1"/>
    <col min="1252" max="1252" width="11.25" bestFit="1" customWidth="1"/>
    <col min="1253" max="1253" width="8.75" bestFit="1" customWidth="1"/>
    <col min="1254" max="1254" width="6.5" bestFit="1" customWidth="1"/>
    <col min="1255" max="1255" width="8.75" bestFit="1" customWidth="1"/>
    <col min="1256" max="1256" width="11.25" bestFit="1" customWidth="1"/>
    <col min="1257" max="1257" width="8.75" bestFit="1" customWidth="1"/>
    <col min="1258" max="1258" width="6.5" bestFit="1" customWidth="1"/>
    <col min="1259" max="1259" width="8.75" bestFit="1" customWidth="1"/>
    <col min="1260" max="1260" width="6.5" bestFit="1" customWidth="1"/>
    <col min="1261" max="1261" width="8.75" bestFit="1" customWidth="1"/>
    <col min="1262" max="1262" width="6.5" bestFit="1" customWidth="1"/>
    <col min="1263" max="1263" width="8.75" bestFit="1" customWidth="1"/>
    <col min="1264" max="1264" width="11.25" bestFit="1" customWidth="1"/>
    <col min="1265" max="1265" width="8.75" bestFit="1" customWidth="1"/>
    <col min="1266" max="1266" width="6.5" bestFit="1" customWidth="1"/>
    <col min="1267" max="1267" width="8.75" bestFit="1" customWidth="1"/>
    <col min="1268" max="1268" width="6.5" bestFit="1" customWidth="1"/>
    <col min="1269" max="1269" width="8.75" bestFit="1" customWidth="1"/>
    <col min="1270" max="1270" width="6.5" bestFit="1" customWidth="1"/>
    <col min="1271" max="1271" width="8.75" bestFit="1" customWidth="1"/>
    <col min="1272" max="1272" width="11.25" bestFit="1" customWidth="1"/>
    <col min="1273" max="1273" width="8.75" bestFit="1" customWidth="1"/>
    <col min="1274" max="1274" width="6.5" bestFit="1" customWidth="1"/>
    <col min="1275" max="1275" width="8.75" bestFit="1" customWidth="1"/>
    <col min="1276" max="1276" width="6.5" bestFit="1" customWidth="1"/>
    <col min="1277" max="1277" width="8.75" bestFit="1" customWidth="1"/>
    <col min="1278" max="1278" width="6.5" bestFit="1" customWidth="1"/>
    <col min="1279" max="1279" width="8.75" bestFit="1" customWidth="1"/>
    <col min="1280" max="1280" width="6.5" bestFit="1" customWidth="1"/>
    <col min="1281" max="1281" width="8.75" bestFit="1" customWidth="1"/>
    <col min="1282" max="1282" width="6.5" bestFit="1" customWidth="1"/>
    <col min="1283" max="1283" width="8.75" bestFit="1" customWidth="1"/>
    <col min="1284" max="1284" width="6.5" bestFit="1" customWidth="1"/>
    <col min="1285" max="1285" width="8.75" bestFit="1" customWidth="1"/>
    <col min="1286" max="1286" width="11.25" bestFit="1" customWidth="1"/>
    <col min="1287" max="1287" width="8.75" bestFit="1" customWidth="1"/>
    <col min="1288" max="1288" width="11.25" bestFit="1" customWidth="1"/>
    <col min="1289" max="1289" width="8.75" bestFit="1" customWidth="1"/>
    <col min="1290" max="1290" width="6.5" bestFit="1" customWidth="1"/>
    <col min="1291" max="1291" width="8.75" bestFit="1" customWidth="1"/>
    <col min="1292" max="1292" width="6.5" bestFit="1" customWidth="1"/>
    <col min="1293" max="1293" width="8.75" bestFit="1" customWidth="1"/>
    <col min="1294" max="1294" width="6.5" bestFit="1" customWidth="1"/>
    <col min="1295" max="1295" width="8.75" bestFit="1" customWidth="1"/>
    <col min="1296" max="1296" width="6.5" bestFit="1" customWidth="1"/>
    <col min="1297" max="1297" width="8.75" bestFit="1" customWidth="1"/>
    <col min="1298" max="1298" width="6.5" bestFit="1" customWidth="1"/>
    <col min="1299" max="1299" width="8.75" bestFit="1" customWidth="1"/>
    <col min="1300" max="1300" width="6.5" bestFit="1" customWidth="1"/>
    <col min="1301" max="1301" width="8.75" bestFit="1" customWidth="1"/>
    <col min="1302" max="1302" width="6.5" bestFit="1" customWidth="1"/>
    <col min="1303" max="1303" width="8.75" bestFit="1" customWidth="1"/>
    <col min="1304" max="1304" width="6.5" bestFit="1" customWidth="1"/>
    <col min="1305" max="1305" width="8.75" bestFit="1" customWidth="1"/>
    <col min="1306" max="1306" width="6.5" bestFit="1" customWidth="1"/>
    <col min="1307" max="1307" width="8.75" bestFit="1" customWidth="1"/>
    <col min="1308" max="1308" width="6.5" bestFit="1" customWidth="1"/>
    <col min="1309" max="1309" width="8.75" bestFit="1" customWidth="1"/>
    <col min="1310" max="1310" width="6.5" bestFit="1" customWidth="1"/>
    <col min="1311" max="1311" width="8.75" bestFit="1" customWidth="1"/>
    <col min="1312" max="1312" width="11.25" bestFit="1" customWidth="1"/>
    <col min="1313" max="1313" width="8.75" bestFit="1" customWidth="1"/>
    <col min="1314" max="1314" width="6.5" bestFit="1" customWidth="1"/>
    <col min="1315" max="1315" width="8.75" bestFit="1" customWidth="1"/>
    <col min="1316" max="1316" width="6.5" bestFit="1" customWidth="1"/>
    <col min="1317" max="1317" width="8.75" bestFit="1" customWidth="1"/>
    <col min="1318" max="1318" width="6.5" bestFit="1" customWidth="1"/>
    <col min="1319" max="1319" width="8.75" bestFit="1" customWidth="1"/>
    <col min="1320" max="1320" width="6.5" bestFit="1" customWidth="1"/>
    <col min="1321" max="1321" width="8.75" bestFit="1" customWidth="1"/>
    <col min="1322" max="1322" width="6.5" bestFit="1" customWidth="1"/>
    <col min="1323" max="1323" width="8.75" bestFit="1" customWidth="1"/>
    <col min="1324" max="1324" width="6.5" bestFit="1" customWidth="1"/>
    <col min="1325" max="1325" width="8.75" bestFit="1" customWidth="1"/>
    <col min="1326" max="1326" width="11.25" bestFit="1" customWidth="1"/>
    <col min="1327" max="1327" width="8.75" bestFit="1" customWidth="1"/>
    <col min="1328" max="1328" width="6.5" bestFit="1" customWidth="1"/>
    <col min="1329" max="1329" width="8.75" bestFit="1" customWidth="1"/>
    <col min="1330" max="1330" width="6.5" bestFit="1" customWidth="1"/>
    <col min="1331" max="1331" width="8.75" bestFit="1" customWidth="1"/>
    <col min="1332" max="1332" width="6.5" bestFit="1" customWidth="1"/>
    <col min="1333" max="1333" width="8.75" bestFit="1" customWidth="1"/>
    <col min="1334" max="1334" width="11.25" bestFit="1" customWidth="1"/>
    <col min="1335" max="1335" width="8.75" bestFit="1" customWidth="1"/>
    <col min="1336" max="1336" width="6.5" bestFit="1" customWidth="1"/>
    <col min="1337" max="1337" width="8.75" bestFit="1" customWidth="1"/>
    <col min="1338" max="1338" width="11.25" bestFit="1" customWidth="1"/>
    <col min="1339" max="1339" width="8.75" bestFit="1" customWidth="1"/>
    <col min="1340" max="1340" width="11.25" bestFit="1" customWidth="1"/>
    <col min="1341" max="1341" width="8.75" bestFit="1" customWidth="1"/>
    <col min="1342" max="1342" width="6.5" bestFit="1" customWidth="1"/>
    <col min="1343" max="1343" width="8.75" bestFit="1" customWidth="1"/>
    <col min="1344" max="1344" width="6.5" bestFit="1" customWidth="1"/>
    <col min="1345" max="1345" width="8.75" bestFit="1" customWidth="1"/>
    <col min="1346" max="1346" width="6.5" bestFit="1" customWidth="1"/>
    <col min="1347" max="1347" width="8.75" bestFit="1" customWidth="1"/>
    <col min="1348" max="1348" width="6.5" bestFit="1" customWidth="1"/>
    <col min="1349" max="1349" width="8.75" bestFit="1" customWidth="1"/>
    <col min="1350" max="1350" width="6.5" bestFit="1" customWidth="1"/>
    <col min="1351" max="1351" width="8.75" bestFit="1" customWidth="1"/>
    <col min="1352" max="1352" width="6.5" bestFit="1" customWidth="1"/>
    <col min="1353" max="1353" width="8.75" bestFit="1" customWidth="1"/>
    <col min="1354" max="1354" width="11.25" bestFit="1" customWidth="1"/>
    <col min="1355" max="1355" width="8.75" bestFit="1" customWidth="1"/>
    <col min="1356" max="1356" width="6.5" bestFit="1" customWidth="1"/>
    <col min="1357" max="1357" width="8.75" bestFit="1" customWidth="1"/>
    <col min="1358" max="1358" width="11.25" bestFit="1" customWidth="1"/>
    <col min="1359" max="1359" width="8.75" bestFit="1" customWidth="1"/>
    <col min="1360" max="1360" width="6.5" bestFit="1" customWidth="1"/>
    <col min="1361" max="1361" width="8.75" bestFit="1" customWidth="1"/>
    <col min="1362" max="1362" width="6.5" bestFit="1" customWidth="1"/>
    <col min="1363" max="1363" width="8.75" bestFit="1" customWidth="1"/>
    <col min="1364" max="1364" width="6.5" bestFit="1" customWidth="1"/>
    <col min="1365" max="1365" width="8.75" bestFit="1" customWidth="1"/>
    <col min="1366" max="1366" width="6.5" bestFit="1" customWidth="1"/>
    <col min="1367" max="1367" width="8.75" bestFit="1" customWidth="1"/>
    <col min="1368" max="1368" width="11.25" bestFit="1" customWidth="1"/>
    <col min="1369" max="1369" width="8.75" bestFit="1" customWidth="1"/>
    <col min="1370" max="1370" width="6.5" bestFit="1" customWidth="1"/>
    <col min="1371" max="1371" width="8.75" bestFit="1" customWidth="1"/>
    <col min="1372" max="1372" width="11.25" bestFit="1" customWidth="1"/>
    <col min="1373" max="1373" width="8.75" bestFit="1" customWidth="1"/>
    <col min="1374" max="1374" width="6.5" bestFit="1" customWidth="1"/>
    <col min="1375" max="1375" width="8.75" bestFit="1" customWidth="1"/>
    <col min="1376" max="1376" width="6.5" bestFit="1" customWidth="1"/>
    <col min="1377" max="1377" width="8.75" bestFit="1" customWidth="1"/>
    <col min="1378" max="1378" width="6.5" bestFit="1" customWidth="1"/>
    <col min="1379" max="1379" width="8.75" bestFit="1" customWidth="1"/>
    <col min="1380" max="1380" width="6.5" bestFit="1" customWidth="1"/>
    <col min="1381" max="1381" width="8.75" bestFit="1" customWidth="1"/>
    <col min="1382" max="1382" width="6.5" bestFit="1" customWidth="1"/>
    <col min="1383" max="1383" width="8.75" bestFit="1" customWidth="1"/>
    <col min="1384" max="1384" width="6.5" bestFit="1" customWidth="1"/>
    <col min="1385" max="1385" width="8.75" bestFit="1" customWidth="1"/>
    <col min="1386" max="1386" width="6.5" bestFit="1" customWidth="1"/>
    <col min="1387" max="1387" width="8.75" bestFit="1" customWidth="1"/>
    <col min="1388" max="1388" width="6.5" bestFit="1" customWidth="1"/>
    <col min="1389" max="1389" width="8.75" bestFit="1" customWidth="1"/>
    <col min="1390" max="1390" width="11.25" bestFit="1" customWidth="1"/>
    <col min="1391" max="1391" width="8.75" bestFit="1" customWidth="1"/>
    <col min="1392" max="1392" width="6.5" bestFit="1" customWidth="1"/>
    <col min="1393" max="1393" width="8.75" bestFit="1" customWidth="1"/>
    <col min="1394" max="1394" width="6.5" bestFit="1" customWidth="1"/>
    <col min="1395" max="1395" width="8.75" bestFit="1" customWidth="1"/>
    <col min="1396" max="1396" width="6.5" bestFit="1" customWidth="1"/>
    <col min="1397" max="1397" width="8.75" bestFit="1" customWidth="1"/>
    <col min="1398" max="1398" width="6.5" bestFit="1" customWidth="1"/>
    <col min="1399" max="1399" width="8.75" bestFit="1" customWidth="1"/>
    <col min="1400" max="1400" width="6.5" bestFit="1" customWidth="1"/>
    <col min="1401" max="1401" width="8.75" bestFit="1" customWidth="1"/>
    <col min="1402" max="1402" width="6.5" bestFit="1" customWidth="1"/>
    <col min="1403" max="1403" width="8.75" bestFit="1" customWidth="1"/>
    <col min="1404" max="1404" width="6.5" bestFit="1" customWidth="1"/>
    <col min="1405" max="1405" width="8.75" bestFit="1" customWidth="1"/>
    <col min="1406" max="1406" width="6.5" bestFit="1" customWidth="1"/>
    <col min="1407" max="1407" width="8.75" bestFit="1" customWidth="1"/>
    <col min="1408" max="1408" width="6.5" bestFit="1" customWidth="1"/>
    <col min="1409" max="1409" width="8.75" bestFit="1" customWidth="1"/>
    <col min="1410" max="1410" width="6.5" bestFit="1" customWidth="1"/>
    <col min="1411" max="1411" width="8.75" bestFit="1" customWidth="1"/>
    <col min="1412" max="1412" width="6.5" bestFit="1" customWidth="1"/>
    <col min="1413" max="1413" width="8.75" bestFit="1" customWidth="1"/>
    <col min="1414" max="1414" width="11.25" bestFit="1" customWidth="1"/>
    <col min="1415" max="1415" width="8.75" bestFit="1" customWidth="1"/>
    <col min="1416" max="1416" width="6.5" bestFit="1" customWidth="1"/>
    <col min="1417" max="1417" width="8.75" bestFit="1" customWidth="1"/>
    <col min="1418" max="1418" width="11.25" bestFit="1" customWidth="1"/>
    <col min="1419" max="1419" width="8.75" bestFit="1" customWidth="1"/>
    <col min="1420" max="1420" width="11.25" bestFit="1" customWidth="1"/>
    <col min="1421" max="1421" width="8.75" bestFit="1" customWidth="1"/>
    <col min="1422" max="1422" width="11.25" bestFit="1" customWidth="1"/>
    <col min="1423" max="1423" width="8.75" bestFit="1" customWidth="1"/>
    <col min="1424" max="1424" width="6.5" bestFit="1" customWidth="1"/>
    <col min="1425" max="1425" width="8.75" bestFit="1" customWidth="1"/>
    <col min="1426" max="1426" width="6.5" bestFit="1" customWidth="1"/>
    <col min="1427" max="1427" width="8.75" bestFit="1" customWidth="1"/>
    <col min="1428" max="1428" width="11.25" bestFit="1" customWidth="1"/>
    <col min="1429" max="1429" width="8.75" bestFit="1" customWidth="1"/>
    <col min="1430" max="1430" width="6.5" bestFit="1" customWidth="1"/>
    <col min="1431" max="1431" width="8.75" bestFit="1" customWidth="1"/>
    <col min="1432" max="1432" width="6.5" bestFit="1" customWidth="1"/>
    <col min="1433" max="1433" width="8.75" bestFit="1" customWidth="1"/>
    <col min="1434" max="1434" width="6.5" bestFit="1" customWidth="1"/>
    <col min="1435" max="1435" width="8.75" bestFit="1" customWidth="1"/>
    <col min="1436" max="1436" width="6.5" bestFit="1" customWidth="1"/>
    <col min="1437" max="1437" width="8.75" bestFit="1" customWidth="1"/>
    <col min="1438" max="1438" width="6.5" bestFit="1" customWidth="1"/>
    <col min="1439" max="1439" width="8.75" bestFit="1" customWidth="1"/>
    <col min="1440" max="1440" width="6.5" bestFit="1" customWidth="1"/>
    <col min="1441" max="1441" width="8.75" bestFit="1" customWidth="1"/>
    <col min="1442" max="1442" width="6.5" bestFit="1" customWidth="1"/>
    <col min="1443" max="1443" width="8.75" bestFit="1" customWidth="1"/>
    <col min="1444" max="1444" width="11.25" bestFit="1" customWidth="1"/>
    <col min="1445" max="1445" width="8.75" bestFit="1" customWidth="1"/>
    <col min="1446" max="1446" width="6.5" bestFit="1" customWidth="1"/>
    <col min="1447" max="1447" width="8.75" bestFit="1" customWidth="1"/>
    <col min="1448" max="1448" width="6.5" bestFit="1" customWidth="1"/>
    <col min="1449" max="1449" width="8.75" bestFit="1" customWidth="1"/>
    <col min="1450" max="1450" width="6.5" bestFit="1" customWidth="1"/>
    <col min="1451" max="1451" width="8.75" bestFit="1" customWidth="1"/>
    <col min="1452" max="1452" width="6.5" bestFit="1" customWidth="1"/>
    <col min="1453" max="1453" width="8.75" bestFit="1" customWidth="1"/>
    <col min="1454" max="1454" width="6.5" bestFit="1" customWidth="1"/>
    <col min="1455" max="1455" width="8.75" bestFit="1" customWidth="1"/>
    <col min="1456" max="1456" width="6.5" bestFit="1" customWidth="1"/>
    <col min="1457" max="1457" width="8.75" bestFit="1" customWidth="1"/>
    <col min="1458" max="1458" width="11.25" bestFit="1" customWidth="1"/>
    <col min="1459" max="1459" width="8.75" bestFit="1" customWidth="1"/>
    <col min="1460" max="1460" width="6.5" bestFit="1" customWidth="1"/>
    <col min="1461" max="1461" width="8.75" bestFit="1" customWidth="1"/>
    <col min="1462" max="1462" width="6.5" bestFit="1" customWidth="1"/>
    <col min="1463" max="1463" width="8.75" bestFit="1" customWidth="1"/>
    <col min="1464" max="1464" width="6.5" bestFit="1" customWidth="1"/>
    <col min="1465" max="1465" width="8.75" bestFit="1" customWidth="1"/>
    <col min="1466" max="1466" width="6.5" bestFit="1" customWidth="1"/>
    <col min="1467" max="1467" width="8.75" bestFit="1" customWidth="1"/>
    <col min="1468" max="1468" width="11.25" bestFit="1" customWidth="1"/>
    <col min="1469" max="1469" width="8.75" bestFit="1" customWidth="1"/>
    <col min="1470" max="1470" width="6.5" bestFit="1" customWidth="1"/>
    <col min="1471" max="1471" width="8.75" bestFit="1" customWidth="1"/>
    <col min="1472" max="1472" width="11.25" bestFit="1" customWidth="1"/>
    <col min="1473" max="1473" width="8.75" bestFit="1" customWidth="1"/>
    <col min="1474" max="1474" width="6.5" bestFit="1" customWidth="1"/>
    <col min="1475" max="1475" width="8.75" bestFit="1" customWidth="1"/>
    <col min="1476" max="1476" width="6.5" bestFit="1" customWidth="1"/>
    <col min="1477" max="1477" width="8.75" bestFit="1" customWidth="1"/>
    <col min="1478" max="1478" width="6.5" bestFit="1" customWidth="1"/>
    <col min="1479" max="1479" width="8.75" bestFit="1" customWidth="1"/>
    <col min="1480" max="1480" width="11.25" bestFit="1" customWidth="1"/>
    <col min="1481" max="1481" width="8.75" bestFit="1" customWidth="1"/>
    <col min="1482" max="1482" width="6.5" bestFit="1" customWidth="1"/>
    <col min="1483" max="1483" width="8.75" bestFit="1" customWidth="1"/>
    <col min="1484" max="1484" width="6.5" bestFit="1" customWidth="1"/>
    <col min="1485" max="1485" width="8.75" bestFit="1" customWidth="1"/>
    <col min="1486" max="1486" width="6.5" bestFit="1" customWidth="1"/>
    <col min="1487" max="1487" width="8.75" bestFit="1" customWidth="1"/>
    <col min="1488" max="1488" width="6.5" bestFit="1" customWidth="1"/>
    <col min="1489" max="1489" width="8.75" bestFit="1" customWidth="1"/>
    <col min="1490" max="1490" width="6.5" bestFit="1" customWidth="1"/>
    <col min="1491" max="1491" width="8.75" bestFit="1" customWidth="1"/>
    <col min="1492" max="1492" width="6.5" bestFit="1" customWidth="1"/>
    <col min="1493" max="1493" width="8.75" bestFit="1" customWidth="1"/>
    <col min="1494" max="1494" width="11.25" bestFit="1" customWidth="1"/>
    <col min="1495" max="1495" width="8.75" bestFit="1" customWidth="1"/>
    <col min="1496" max="1496" width="11.25" bestFit="1" customWidth="1"/>
    <col min="1497" max="1497" width="8.75" bestFit="1" customWidth="1"/>
    <col min="1498" max="1498" width="6.5" bestFit="1" customWidth="1"/>
    <col min="1499" max="1499" width="8.75" bestFit="1" customWidth="1"/>
    <col min="1500" max="1500" width="6.5" bestFit="1" customWidth="1"/>
    <col min="1501" max="1501" width="8.75" bestFit="1" customWidth="1"/>
    <col min="1502" max="1502" width="6.5" bestFit="1" customWidth="1"/>
    <col min="1503" max="1503" width="8.75" bestFit="1" customWidth="1"/>
    <col min="1504" max="1504" width="11.25" bestFit="1" customWidth="1"/>
    <col min="1505" max="1505" width="8.75" bestFit="1" customWidth="1"/>
    <col min="1506" max="1506" width="6.5" bestFit="1" customWidth="1"/>
    <col min="1507" max="1507" width="8.75" bestFit="1" customWidth="1"/>
    <col min="1508" max="1508" width="6.5" bestFit="1" customWidth="1"/>
    <col min="1509" max="1509" width="8.75" bestFit="1" customWidth="1"/>
    <col min="1510" max="1510" width="6.5" bestFit="1" customWidth="1"/>
    <col min="1511" max="1511" width="8.75" bestFit="1" customWidth="1"/>
    <col min="1512" max="1512" width="6.5" bestFit="1" customWidth="1"/>
    <col min="1513" max="1513" width="8.75" bestFit="1" customWidth="1"/>
    <col min="1514" max="1514" width="6.5" bestFit="1" customWidth="1"/>
    <col min="1515" max="1515" width="8.75" bestFit="1" customWidth="1"/>
    <col min="1516" max="1516" width="6.5" bestFit="1" customWidth="1"/>
    <col min="1517" max="1517" width="8.75" bestFit="1" customWidth="1"/>
    <col min="1518" max="1518" width="6.5" bestFit="1" customWidth="1"/>
    <col min="1519" max="1519" width="8.75" bestFit="1" customWidth="1"/>
    <col min="1520" max="1520" width="11.25" bestFit="1" customWidth="1"/>
    <col min="1521" max="1521" width="8.75" bestFit="1" customWidth="1"/>
    <col min="1522" max="1522" width="6.5" bestFit="1" customWidth="1"/>
    <col min="1523" max="1523" width="8.75" bestFit="1" customWidth="1"/>
    <col min="1524" max="1524" width="11.25" bestFit="1" customWidth="1"/>
    <col min="1525" max="1525" width="8.75" bestFit="1" customWidth="1"/>
    <col min="1526" max="1526" width="6.5" bestFit="1" customWidth="1"/>
    <col min="1527" max="1527" width="8.75" bestFit="1" customWidth="1"/>
    <col min="1528" max="1528" width="6.5" bestFit="1" customWidth="1"/>
    <col min="1529" max="1529" width="8.75" bestFit="1" customWidth="1"/>
    <col min="1530" max="1530" width="6.5" bestFit="1" customWidth="1"/>
    <col min="1531" max="1531" width="8.75" bestFit="1" customWidth="1"/>
    <col min="1532" max="1532" width="6.5" bestFit="1" customWidth="1"/>
    <col min="1533" max="1533" width="8.75" bestFit="1" customWidth="1"/>
    <col min="1534" max="1534" width="6.5" bestFit="1" customWidth="1"/>
    <col min="1535" max="1535" width="8.75" bestFit="1" customWidth="1"/>
    <col min="1536" max="1536" width="11.25" bestFit="1" customWidth="1"/>
    <col min="1537" max="1537" width="8.75" bestFit="1" customWidth="1"/>
    <col min="1538" max="1538" width="6.5" bestFit="1" customWidth="1"/>
    <col min="1539" max="1539" width="8.75" bestFit="1" customWidth="1"/>
    <col min="1540" max="1540" width="6.5" bestFit="1" customWidth="1"/>
    <col min="1541" max="1541" width="8.75" bestFit="1" customWidth="1"/>
    <col min="1542" max="1542" width="11.25" bestFit="1" customWidth="1"/>
    <col min="1543" max="1543" width="8.75" bestFit="1" customWidth="1"/>
    <col min="1544" max="1544" width="11.25" bestFit="1" customWidth="1"/>
    <col min="1545" max="1545" width="8.75" bestFit="1" customWidth="1"/>
    <col min="1546" max="1546" width="11.25" bestFit="1" customWidth="1"/>
    <col min="1547" max="1547" width="8.75" bestFit="1" customWidth="1"/>
    <col min="1548" max="1548" width="6.5" bestFit="1" customWidth="1"/>
    <col min="1549" max="1549" width="8.75" bestFit="1" customWidth="1"/>
    <col min="1550" max="1550" width="6.5" bestFit="1" customWidth="1"/>
    <col min="1551" max="1551" width="8.75" bestFit="1" customWidth="1"/>
    <col min="1552" max="1552" width="6.5" bestFit="1" customWidth="1"/>
    <col min="1553" max="1553" width="8.75" bestFit="1" customWidth="1"/>
    <col min="1554" max="1554" width="6.5" bestFit="1" customWidth="1"/>
    <col min="1555" max="1555" width="8.75" bestFit="1" customWidth="1"/>
    <col min="1556" max="1556" width="6.5" bestFit="1" customWidth="1"/>
    <col min="1557" max="1557" width="8.75" bestFit="1" customWidth="1"/>
    <col min="1558" max="1558" width="6.5" bestFit="1" customWidth="1"/>
    <col min="1559" max="1559" width="8.75" bestFit="1" customWidth="1"/>
    <col min="1560" max="1560" width="6.5" bestFit="1" customWidth="1"/>
    <col min="1561" max="1561" width="8.75" bestFit="1" customWidth="1"/>
    <col min="1562" max="1562" width="6.5" bestFit="1" customWidth="1"/>
    <col min="1563" max="1563" width="8.75" bestFit="1" customWidth="1"/>
    <col min="1564" max="1564" width="6.5" bestFit="1" customWidth="1"/>
    <col min="1565" max="1565" width="8.75" bestFit="1" customWidth="1"/>
    <col min="1566" max="1566" width="6.5" bestFit="1" customWidth="1"/>
    <col min="1567" max="1567" width="8.75" bestFit="1" customWidth="1"/>
    <col min="1568" max="1568" width="6.5" bestFit="1" customWidth="1"/>
    <col min="1569" max="1569" width="8.75" bestFit="1" customWidth="1"/>
    <col min="1570" max="1570" width="6.5" bestFit="1" customWidth="1"/>
    <col min="1571" max="1571" width="8.75" bestFit="1" customWidth="1"/>
    <col min="1572" max="1572" width="6.5" bestFit="1" customWidth="1"/>
    <col min="1573" max="1573" width="8.75" bestFit="1" customWidth="1"/>
    <col min="1574" max="1574" width="6.5" bestFit="1" customWidth="1"/>
    <col min="1575" max="1575" width="8.75" bestFit="1" customWidth="1"/>
    <col min="1576" max="1576" width="6.5" bestFit="1" customWidth="1"/>
    <col min="1577" max="1577" width="8.75" bestFit="1" customWidth="1"/>
    <col min="1578" max="1578" width="6.5" bestFit="1" customWidth="1"/>
    <col min="1579" max="1579" width="8.75" bestFit="1" customWidth="1"/>
    <col min="1580" max="1580" width="6.5" bestFit="1" customWidth="1"/>
    <col min="1581" max="1581" width="8.75" bestFit="1" customWidth="1"/>
    <col min="1582" max="1582" width="6.5" bestFit="1" customWidth="1"/>
    <col min="1583" max="1583" width="8.75" bestFit="1" customWidth="1"/>
    <col min="1584" max="1584" width="11.25" bestFit="1" customWidth="1"/>
    <col min="1585" max="1585" width="8.75" bestFit="1" customWidth="1"/>
    <col min="1586" max="1586" width="6.5" bestFit="1" customWidth="1"/>
    <col min="1587" max="1587" width="8.75" bestFit="1" customWidth="1"/>
    <col min="1588" max="1588" width="6.5" bestFit="1" customWidth="1"/>
    <col min="1589" max="1589" width="8.75" bestFit="1" customWidth="1"/>
    <col min="1590" max="1590" width="6.5" bestFit="1" customWidth="1"/>
    <col min="1591" max="1591" width="8.75" bestFit="1" customWidth="1"/>
    <col min="1592" max="1592" width="6.5" bestFit="1" customWidth="1"/>
    <col min="1593" max="1593" width="8.75" bestFit="1" customWidth="1"/>
    <col min="1594" max="1594" width="6.5" bestFit="1" customWidth="1"/>
    <col min="1595" max="1595" width="8.75" bestFit="1" customWidth="1"/>
    <col min="1596" max="1596" width="6.5" bestFit="1" customWidth="1"/>
    <col min="1597" max="1597" width="8.75" bestFit="1" customWidth="1"/>
    <col min="1598" max="1598" width="6.5" bestFit="1" customWidth="1"/>
    <col min="1599" max="1599" width="8.75" bestFit="1" customWidth="1"/>
    <col min="1600" max="1600" width="6.5" bestFit="1" customWidth="1"/>
    <col min="1601" max="1601" width="8.75" bestFit="1" customWidth="1"/>
    <col min="1602" max="1602" width="11.25" bestFit="1" customWidth="1"/>
    <col min="1603" max="1603" width="8.75" bestFit="1" customWidth="1"/>
    <col min="1604" max="1604" width="6.5" bestFit="1" customWidth="1"/>
    <col min="1605" max="1605" width="8.75" bestFit="1" customWidth="1"/>
    <col min="1606" max="1606" width="6.5" bestFit="1" customWidth="1"/>
    <col min="1607" max="1607" width="8.75" bestFit="1" customWidth="1"/>
    <col min="1608" max="1608" width="6.5" bestFit="1" customWidth="1"/>
    <col min="1609" max="1609" width="8.75" bestFit="1" customWidth="1"/>
    <col min="1610" max="1610" width="6.5" bestFit="1" customWidth="1"/>
    <col min="1611" max="1611" width="8.75" bestFit="1" customWidth="1"/>
    <col min="1612" max="1612" width="6.5" bestFit="1" customWidth="1"/>
    <col min="1613" max="1613" width="8.75" bestFit="1" customWidth="1"/>
    <col min="1614" max="1614" width="6.5" bestFit="1" customWidth="1"/>
    <col min="1615" max="1615" width="8.75" bestFit="1" customWidth="1"/>
    <col min="1616" max="1616" width="6.5" bestFit="1" customWidth="1"/>
    <col min="1617" max="1617" width="8.75" bestFit="1" customWidth="1"/>
    <col min="1618" max="1618" width="6.5" bestFit="1" customWidth="1"/>
    <col min="1619" max="1619" width="8.75" bestFit="1" customWidth="1"/>
    <col min="1620" max="1620" width="6.5" bestFit="1" customWidth="1"/>
    <col min="1621" max="1621" width="8.75" bestFit="1" customWidth="1"/>
    <col min="1622" max="1622" width="6.5" bestFit="1" customWidth="1"/>
    <col min="1623" max="1623" width="8.75" bestFit="1" customWidth="1"/>
    <col min="1624" max="1624" width="11.25" bestFit="1" customWidth="1"/>
    <col min="1625" max="1625" width="8.75" bestFit="1" customWidth="1"/>
    <col min="1626" max="1626" width="6.5" bestFit="1" customWidth="1"/>
    <col min="1627" max="1627" width="8.75" bestFit="1" customWidth="1"/>
    <col min="1628" max="1628" width="6.5" bestFit="1" customWidth="1"/>
    <col min="1629" max="1629" width="8.75" bestFit="1" customWidth="1"/>
    <col min="1630" max="1630" width="6.5" bestFit="1" customWidth="1"/>
    <col min="1631" max="1631" width="8.75" bestFit="1" customWidth="1"/>
    <col min="1632" max="1632" width="6.5" bestFit="1" customWidth="1"/>
    <col min="1633" max="1633" width="8.75" bestFit="1" customWidth="1"/>
    <col min="1634" max="1634" width="6.5" bestFit="1" customWidth="1"/>
    <col min="1635" max="1635" width="8.75" bestFit="1" customWidth="1"/>
    <col min="1636" max="1636" width="6.5" bestFit="1" customWidth="1"/>
    <col min="1637" max="1637" width="8.75" bestFit="1" customWidth="1"/>
    <col min="1638" max="1638" width="6.5" bestFit="1" customWidth="1"/>
    <col min="1639" max="1639" width="8.75" bestFit="1" customWidth="1"/>
    <col min="1640" max="1640" width="6.5" bestFit="1" customWidth="1"/>
    <col min="1641" max="1641" width="8.75" bestFit="1" customWidth="1"/>
    <col min="1642" max="1642" width="6.5" bestFit="1" customWidth="1"/>
    <col min="1643" max="1643" width="8.75" bestFit="1" customWidth="1"/>
    <col min="1644" max="1644" width="6.5" bestFit="1" customWidth="1"/>
    <col min="1645" max="1645" width="8.75" bestFit="1" customWidth="1"/>
    <col min="1646" max="1646" width="6.5" bestFit="1" customWidth="1"/>
    <col min="1647" max="1647" width="8.75" bestFit="1" customWidth="1"/>
    <col min="1648" max="1648" width="6.5" bestFit="1" customWidth="1"/>
    <col min="1649" max="1649" width="8.75" bestFit="1" customWidth="1"/>
    <col min="1650" max="1650" width="6.5" bestFit="1" customWidth="1"/>
    <col min="1651" max="1651" width="8.75" bestFit="1" customWidth="1"/>
    <col min="1652" max="1652" width="6.5" bestFit="1" customWidth="1"/>
    <col min="1653" max="1653" width="8.75" bestFit="1" customWidth="1"/>
    <col min="1654" max="1654" width="6.5" bestFit="1" customWidth="1"/>
    <col min="1655" max="1655" width="8.75" bestFit="1" customWidth="1"/>
    <col min="1656" max="1656" width="6.5" bestFit="1" customWidth="1"/>
    <col min="1657" max="1657" width="8.75" bestFit="1" customWidth="1"/>
    <col min="1658" max="1658" width="6.5" bestFit="1" customWidth="1"/>
    <col min="1659" max="1659" width="8.75" bestFit="1" customWidth="1"/>
    <col min="1660" max="1660" width="6.5" bestFit="1" customWidth="1"/>
    <col min="1661" max="1661" width="8.75" bestFit="1" customWidth="1"/>
    <col min="1662" max="1662" width="11.25" bestFit="1" customWidth="1"/>
    <col min="1663" max="1663" width="8.75" bestFit="1" customWidth="1"/>
    <col min="1664" max="1664" width="6.5" bestFit="1" customWidth="1"/>
    <col min="1665" max="1665" width="8.75" bestFit="1" customWidth="1"/>
    <col min="1666" max="1666" width="6.5" bestFit="1" customWidth="1"/>
    <col min="1667" max="1667" width="8.75" bestFit="1" customWidth="1"/>
    <col min="1668" max="1668" width="6.5" bestFit="1" customWidth="1"/>
    <col min="1669" max="1669" width="8.75" bestFit="1" customWidth="1"/>
    <col min="1670" max="1670" width="6.5" bestFit="1" customWidth="1"/>
    <col min="1671" max="1671" width="8.75" bestFit="1" customWidth="1"/>
    <col min="1672" max="1672" width="11.25" bestFit="1" customWidth="1"/>
    <col min="1673" max="1673" width="8.75" bestFit="1" customWidth="1"/>
    <col min="1674" max="1674" width="11.25" bestFit="1" customWidth="1"/>
    <col min="1675" max="1675" width="8.75" bestFit="1" customWidth="1"/>
    <col min="1676" max="1676" width="6.5" bestFit="1" customWidth="1"/>
    <col min="1677" max="1677" width="8.75" bestFit="1" customWidth="1"/>
    <col min="1678" max="1678" width="11.25" bestFit="1" customWidth="1"/>
    <col min="1679" max="1679" width="8.75" bestFit="1" customWidth="1"/>
    <col min="1680" max="1680" width="6.5" bestFit="1" customWidth="1"/>
    <col min="1681" max="1681" width="8.75" bestFit="1" customWidth="1"/>
    <col min="1682" max="1682" width="6.5" bestFit="1" customWidth="1"/>
    <col min="1683" max="1683" width="8.75" bestFit="1" customWidth="1"/>
    <col min="1684" max="1684" width="6.5" bestFit="1" customWidth="1"/>
    <col min="1685" max="1685" width="8.75" bestFit="1" customWidth="1"/>
    <col min="1686" max="1686" width="11.25" bestFit="1" customWidth="1"/>
    <col min="1687" max="1687" width="8.75" bestFit="1" customWidth="1"/>
    <col min="1688" max="1688" width="6.5" bestFit="1" customWidth="1"/>
    <col min="1689" max="1689" width="8.75" bestFit="1" customWidth="1"/>
    <col min="1690" max="1690" width="6.5" bestFit="1" customWidth="1"/>
    <col min="1691" max="1691" width="8.75" bestFit="1" customWidth="1"/>
    <col min="1692" max="1692" width="6.5" bestFit="1" customWidth="1"/>
    <col min="1693" max="1693" width="8.75" bestFit="1" customWidth="1"/>
    <col min="1694" max="1694" width="11.25" bestFit="1" customWidth="1"/>
    <col min="1695" max="1695" width="8.75" bestFit="1" customWidth="1"/>
    <col min="1696" max="1696" width="6.5" bestFit="1" customWidth="1"/>
    <col min="1697" max="1697" width="8.75" bestFit="1" customWidth="1"/>
    <col min="1698" max="1698" width="6.5" bestFit="1" customWidth="1"/>
    <col min="1699" max="1699" width="8.75" bestFit="1" customWidth="1"/>
    <col min="1700" max="1700" width="11.25" bestFit="1" customWidth="1"/>
    <col min="1701" max="1701" width="8.75" bestFit="1" customWidth="1"/>
    <col min="1702" max="1702" width="6.5" bestFit="1" customWidth="1"/>
    <col min="1703" max="1703" width="8.75" bestFit="1" customWidth="1"/>
    <col min="1704" max="1704" width="6.5" bestFit="1" customWidth="1"/>
    <col min="1705" max="1705" width="8.75" bestFit="1" customWidth="1"/>
    <col min="1706" max="1706" width="11.25" bestFit="1" customWidth="1"/>
    <col min="1707" max="1707" width="8.75" bestFit="1" customWidth="1"/>
    <col min="1708" max="1708" width="11.25" bestFit="1" customWidth="1"/>
    <col min="1709" max="1709" width="8.75" bestFit="1" customWidth="1"/>
    <col min="1710" max="1710" width="6.5" bestFit="1" customWidth="1"/>
    <col min="1711" max="1711" width="8.75" bestFit="1" customWidth="1"/>
    <col min="1712" max="1712" width="6.5" bestFit="1" customWidth="1"/>
    <col min="1713" max="1713" width="8.75" bestFit="1" customWidth="1"/>
    <col min="1714" max="1714" width="6.5" bestFit="1" customWidth="1"/>
    <col min="1715" max="1715" width="8.75" bestFit="1" customWidth="1"/>
    <col min="1716" max="1716" width="11.25" bestFit="1" customWidth="1"/>
    <col min="1717" max="1717" width="8.75" bestFit="1" customWidth="1"/>
    <col min="1718" max="1718" width="6.5" bestFit="1" customWidth="1"/>
    <col min="1719" max="1719" width="8.75" bestFit="1" customWidth="1"/>
    <col min="1720" max="1720" width="6.5" bestFit="1" customWidth="1"/>
    <col min="1721" max="1721" width="8.75" bestFit="1" customWidth="1"/>
    <col min="1722" max="1722" width="6.5" bestFit="1" customWidth="1"/>
    <col min="1723" max="1723" width="8.75" bestFit="1" customWidth="1"/>
    <col min="1724" max="1724" width="11.25" bestFit="1" customWidth="1"/>
    <col min="1725" max="1725" width="8.75" bestFit="1" customWidth="1"/>
    <col min="1726" max="1726" width="6.5" bestFit="1" customWidth="1"/>
    <col min="1727" max="1727" width="8.75" bestFit="1" customWidth="1"/>
    <col min="1728" max="1728" width="6.5" bestFit="1" customWidth="1"/>
    <col min="1729" max="1729" width="8.75" bestFit="1" customWidth="1"/>
    <col min="1730" max="1730" width="6.5" bestFit="1" customWidth="1"/>
    <col min="1731" max="1731" width="8.75" bestFit="1" customWidth="1"/>
    <col min="1732" max="1732" width="11.25" bestFit="1" customWidth="1"/>
    <col min="1733" max="1733" width="8.75" bestFit="1" customWidth="1"/>
    <col min="1734" max="1734" width="11.25" bestFit="1" customWidth="1"/>
    <col min="1735" max="1735" width="8.75" bestFit="1" customWidth="1"/>
    <col min="1736" max="1736" width="11.25" bestFit="1" customWidth="1"/>
    <col min="1737" max="1737" width="8.75" bestFit="1" customWidth="1"/>
    <col min="1738" max="1738" width="6.5" bestFit="1" customWidth="1"/>
    <col min="1739" max="1739" width="8.75" bestFit="1" customWidth="1"/>
    <col min="1740" max="1740" width="6.5" bestFit="1" customWidth="1"/>
    <col min="1741" max="1741" width="8.75" bestFit="1" customWidth="1"/>
    <col min="1742" max="1742" width="6.5" bestFit="1" customWidth="1"/>
    <col min="1743" max="1743" width="8.75" bestFit="1" customWidth="1"/>
    <col min="1744" max="1744" width="6.5" bestFit="1" customWidth="1"/>
    <col min="1745" max="1745" width="8.75" bestFit="1" customWidth="1"/>
    <col min="1746" max="1746" width="11.25" bestFit="1" customWidth="1"/>
    <col min="1747" max="1747" width="8.75" bestFit="1" customWidth="1"/>
    <col min="1748" max="1748" width="6.5" bestFit="1" customWidth="1"/>
    <col min="1749" max="1749" width="8.75" bestFit="1" customWidth="1"/>
    <col min="1750" max="1750" width="6.5" bestFit="1" customWidth="1"/>
    <col min="1751" max="1751" width="8.75" bestFit="1" customWidth="1"/>
    <col min="1752" max="1752" width="6.5" bestFit="1" customWidth="1"/>
    <col min="1753" max="1753" width="8.75" bestFit="1" customWidth="1"/>
    <col min="1754" max="1754" width="6.5" bestFit="1" customWidth="1"/>
    <col min="1755" max="1755" width="8.75" bestFit="1" customWidth="1"/>
    <col min="1756" max="1756" width="11.25" bestFit="1" customWidth="1"/>
    <col min="1757" max="1757" width="8.75" bestFit="1" customWidth="1"/>
    <col min="1758" max="1758" width="11.25" bestFit="1" customWidth="1"/>
    <col min="1759" max="1759" width="8.75" bestFit="1" customWidth="1"/>
    <col min="1760" max="1760" width="11.25" bestFit="1" customWidth="1"/>
    <col min="1761" max="1761" width="8.75" bestFit="1" customWidth="1"/>
    <col min="1762" max="1762" width="11.25" bestFit="1" customWidth="1"/>
    <col min="1763" max="1763" width="8.75" bestFit="1" customWidth="1"/>
    <col min="1764" max="1764" width="6.5" bestFit="1" customWidth="1"/>
    <col min="1765" max="1765" width="8.75" bestFit="1" customWidth="1"/>
    <col min="1766" max="1766" width="6.5" bestFit="1" customWidth="1"/>
    <col min="1767" max="1767" width="8.75" bestFit="1" customWidth="1"/>
    <col min="1768" max="1768" width="11.25" bestFit="1" customWidth="1"/>
    <col min="1769" max="1769" width="8.75" bestFit="1" customWidth="1"/>
    <col min="1770" max="1770" width="6.5" bestFit="1" customWidth="1"/>
    <col min="1771" max="1771" width="8.75" bestFit="1" customWidth="1"/>
    <col min="1772" max="1772" width="6.5" bestFit="1" customWidth="1"/>
    <col min="1773" max="1773" width="8.75" bestFit="1" customWidth="1"/>
    <col min="1774" max="1774" width="6.5" bestFit="1" customWidth="1"/>
    <col min="1775" max="1775" width="8.75" bestFit="1" customWidth="1"/>
    <col min="1776" max="1776" width="6.5" bestFit="1" customWidth="1"/>
    <col min="1777" max="1777" width="8.75" bestFit="1" customWidth="1"/>
    <col min="1778" max="1778" width="6.5" bestFit="1" customWidth="1"/>
    <col min="1779" max="1779" width="8.75" bestFit="1" customWidth="1"/>
    <col min="1780" max="1780" width="6.5" bestFit="1" customWidth="1"/>
    <col min="1781" max="1781" width="8.75" bestFit="1" customWidth="1"/>
    <col min="1782" max="1782" width="6.5" bestFit="1" customWidth="1"/>
    <col min="1783" max="1783" width="8.75" bestFit="1" customWidth="1"/>
    <col min="1784" max="1784" width="11.25" bestFit="1" customWidth="1"/>
    <col min="1785" max="1785" width="8.75" bestFit="1" customWidth="1"/>
    <col min="1786" max="1786" width="6.5" bestFit="1" customWidth="1"/>
    <col min="1787" max="1787" width="8.75" bestFit="1" customWidth="1"/>
    <col min="1788" max="1788" width="6.5" bestFit="1" customWidth="1"/>
    <col min="1789" max="1789" width="8.75" bestFit="1" customWidth="1"/>
    <col min="1790" max="1790" width="6.5" bestFit="1" customWidth="1"/>
    <col min="1791" max="1791" width="8.75" bestFit="1" customWidth="1"/>
    <col min="1792" max="1792" width="6.5" bestFit="1" customWidth="1"/>
    <col min="1793" max="1793" width="8.75" bestFit="1" customWidth="1"/>
    <col min="1794" max="1794" width="6.5" bestFit="1" customWidth="1"/>
    <col min="1795" max="1795" width="8.75" bestFit="1" customWidth="1"/>
    <col min="1796" max="1796" width="6.5" bestFit="1" customWidth="1"/>
    <col min="1797" max="1797" width="8.75" bestFit="1" customWidth="1"/>
    <col min="1798" max="1798" width="11.25" bestFit="1" customWidth="1"/>
    <col min="1799" max="1799" width="8.75" bestFit="1" customWidth="1"/>
    <col min="1800" max="1800" width="11.25" bestFit="1" customWidth="1"/>
    <col min="1801" max="1801" width="8.75" bestFit="1" customWidth="1"/>
    <col min="1802" max="1802" width="6.5" bestFit="1" customWidth="1"/>
    <col min="1803" max="1803" width="8.75" bestFit="1" customWidth="1"/>
    <col min="1804" max="1804" width="6.5" bestFit="1" customWidth="1"/>
    <col min="1805" max="1805" width="8.75" bestFit="1" customWidth="1"/>
    <col min="1806" max="1806" width="6.5" bestFit="1" customWidth="1"/>
    <col min="1807" max="1807" width="8.75" bestFit="1" customWidth="1"/>
    <col min="1808" max="1808" width="11.25" bestFit="1" customWidth="1"/>
    <col min="1809" max="1809" width="8.75" bestFit="1" customWidth="1"/>
    <col min="1810" max="1810" width="6.5" bestFit="1" customWidth="1"/>
    <col min="1811" max="1811" width="8.75" bestFit="1" customWidth="1"/>
    <col min="1812" max="1812" width="11.25" bestFit="1" customWidth="1"/>
    <col min="1813" max="1813" width="8.75" bestFit="1" customWidth="1"/>
    <col min="1814" max="1814" width="6.5" bestFit="1" customWidth="1"/>
    <col min="1815" max="1815" width="8.75" bestFit="1" customWidth="1"/>
    <col min="1816" max="1816" width="6.5" bestFit="1" customWidth="1"/>
    <col min="1817" max="1817" width="8.75" bestFit="1" customWidth="1"/>
    <col min="1818" max="1818" width="11.25" bestFit="1" customWidth="1"/>
    <col min="1819" max="1819" width="8.75" bestFit="1" customWidth="1"/>
    <col min="1820" max="1820" width="11.25" bestFit="1" customWidth="1"/>
    <col min="1821" max="1821" width="8.75" bestFit="1" customWidth="1"/>
    <col min="1822" max="1822" width="6.5" bestFit="1" customWidth="1"/>
    <col min="1823" max="1823" width="8.75" bestFit="1" customWidth="1"/>
    <col min="1824" max="1824" width="6.5" bestFit="1" customWidth="1"/>
    <col min="1825" max="1825" width="8.75" bestFit="1" customWidth="1"/>
    <col min="1826" max="1826" width="11.25" bestFit="1" customWidth="1"/>
    <col min="1827" max="1827" width="8.75" bestFit="1" customWidth="1"/>
    <col min="1828" max="1828" width="6.5" bestFit="1" customWidth="1"/>
    <col min="1829" max="1829" width="8.75" bestFit="1" customWidth="1"/>
    <col min="1830" max="1830" width="11.25" bestFit="1" customWidth="1"/>
    <col min="1831" max="1831" width="8.75" bestFit="1" customWidth="1"/>
    <col min="1832" max="1832" width="6.5" bestFit="1" customWidth="1"/>
    <col min="1833" max="1833" width="8.75" bestFit="1" customWidth="1"/>
    <col min="1834" max="1834" width="6.5" bestFit="1" customWidth="1"/>
    <col min="1835" max="1835" width="8.75" bestFit="1" customWidth="1"/>
    <col min="1836" max="1836" width="6.5" bestFit="1" customWidth="1"/>
    <col min="1837" max="1837" width="8.75" bestFit="1" customWidth="1"/>
    <col min="1838" max="1838" width="11.25" bestFit="1" customWidth="1"/>
    <col min="1839" max="1839" width="8.75" bestFit="1" customWidth="1"/>
    <col min="1840" max="1840" width="11.25" bestFit="1" customWidth="1"/>
    <col min="1841" max="1841" width="8.75" bestFit="1" customWidth="1"/>
    <col min="1842" max="1842" width="6.5" bestFit="1" customWidth="1"/>
    <col min="1843" max="1843" width="8.75" bestFit="1" customWidth="1"/>
    <col min="1844" max="1844" width="6.5" bestFit="1" customWidth="1"/>
    <col min="1845" max="1845" width="8.75" bestFit="1" customWidth="1"/>
    <col min="1846" max="1846" width="6.5" bestFit="1" customWidth="1"/>
    <col min="1847" max="1847" width="8.75" bestFit="1" customWidth="1"/>
    <col min="1848" max="1848" width="6.5" bestFit="1" customWidth="1"/>
    <col min="1849" max="1849" width="8.75" bestFit="1" customWidth="1"/>
    <col min="1850" max="1850" width="11.25" bestFit="1" customWidth="1"/>
    <col min="1851" max="1851" width="8.75" bestFit="1" customWidth="1"/>
    <col min="1852" max="1852" width="11.25" bestFit="1" customWidth="1"/>
    <col min="1853" max="1853" width="8.75" bestFit="1" customWidth="1"/>
    <col min="1854" max="1854" width="6.5" bestFit="1" customWidth="1"/>
    <col min="1855" max="1855" width="8.75" bestFit="1" customWidth="1"/>
    <col min="1856" max="1856" width="6.5" bestFit="1" customWidth="1"/>
    <col min="1857" max="1857" width="8.75" bestFit="1" customWidth="1"/>
    <col min="1858" max="1858" width="11.25" bestFit="1" customWidth="1"/>
    <col min="1859" max="1859" width="8.75" bestFit="1" customWidth="1"/>
    <col min="1860" max="1860" width="6.5" bestFit="1" customWidth="1"/>
    <col min="1861" max="1861" width="8.75" bestFit="1" customWidth="1"/>
    <col min="1862" max="1862" width="6.5" bestFit="1" customWidth="1"/>
    <col min="1863" max="1863" width="8.75" bestFit="1" customWidth="1"/>
    <col min="1864" max="1864" width="6.5" bestFit="1" customWidth="1"/>
    <col min="1865" max="1865" width="8.75" bestFit="1" customWidth="1"/>
    <col min="1866" max="1866" width="11.25" bestFit="1" customWidth="1"/>
    <col min="1867" max="1867" width="8.75" bestFit="1" customWidth="1"/>
    <col min="1868" max="1868" width="6.5" bestFit="1" customWidth="1"/>
    <col min="1869" max="1869" width="8.75" bestFit="1" customWidth="1"/>
    <col min="1870" max="1870" width="6.5" bestFit="1" customWidth="1"/>
    <col min="1871" max="1871" width="8.75" bestFit="1" customWidth="1"/>
    <col min="1872" max="1872" width="6.5" bestFit="1" customWidth="1"/>
    <col min="1873" max="1873" width="8.75" bestFit="1" customWidth="1"/>
    <col min="1874" max="1874" width="6.5" bestFit="1" customWidth="1"/>
    <col min="1875" max="1875" width="8.75" bestFit="1" customWidth="1"/>
    <col min="1876" max="1876" width="6.5" bestFit="1" customWidth="1"/>
    <col min="1877" max="1877" width="8.75" bestFit="1" customWidth="1"/>
    <col min="1878" max="1878" width="6.5" bestFit="1" customWidth="1"/>
    <col min="1879" max="1879" width="8.75" bestFit="1" customWidth="1"/>
    <col min="1880" max="1880" width="11.25" bestFit="1" customWidth="1"/>
    <col min="1881" max="1881" width="8.75" bestFit="1" customWidth="1"/>
    <col min="1882" max="1882" width="6.5" bestFit="1" customWidth="1"/>
    <col min="1883" max="1883" width="8.75" bestFit="1" customWidth="1"/>
    <col min="1884" max="1884" width="6.5" bestFit="1" customWidth="1"/>
    <col min="1885" max="1885" width="8.75" bestFit="1" customWidth="1"/>
    <col min="1886" max="1886" width="6.5" bestFit="1" customWidth="1"/>
    <col min="1887" max="1887" width="8.75" bestFit="1" customWidth="1"/>
    <col min="1888" max="1888" width="6.5" bestFit="1" customWidth="1"/>
    <col min="1889" max="1889" width="8.75" bestFit="1" customWidth="1"/>
    <col min="1890" max="1890" width="6.5" bestFit="1" customWidth="1"/>
    <col min="1891" max="1891" width="8.75" bestFit="1" customWidth="1"/>
    <col min="1892" max="1892" width="6.5" bestFit="1" customWidth="1"/>
    <col min="1893" max="1893" width="8.75" bestFit="1" customWidth="1"/>
    <col min="1894" max="1894" width="6.5" bestFit="1" customWidth="1"/>
    <col min="1895" max="1895" width="8.75" bestFit="1" customWidth="1"/>
    <col min="1896" max="1896" width="11.25" bestFit="1" customWidth="1"/>
    <col min="1897" max="1897" width="8.75" bestFit="1" customWidth="1"/>
    <col min="1898" max="1898" width="6.5" bestFit="1" customWidth="1"/>
    <col min="1899" max="1899" width="8.75" bestFit="1" customWidth="1"/>
    <col min="1900" max="1900" width="6.5" bestFit="1" customWidth="1"/>
    <col min="1901" max="1901" width="8.75" bestFit="1" customWidth="1"/>
    <col min="1902" max="1902" width="6.5" bestFit="1" customWidth="1"/>
    <col min="1903" max="1903" width="8.75" bestFit="1" customWidth="1"/>
    <col min="1904" max="1904" width="6.5" bestFit="1" customWidth="1"/>
    <col min="1905" max="1905" width="8.75" bestFit="1" customWidth="1"/>
    <col min="1906" max="1906" width="6.5" bestFit="1" customWidth="1"/>
    <col min="1907" max="1907" width="8.75" bestFit="1" customWidth="1"/>
    <col min="1908" max="1908" width="6.5" bestFit="1" customWidth="1"/>
    <col min="1909" max="1909" width="8.75" bestFit="1" customWidth="1"/>
    <col min="1910" max="1910" width="6.5" bestFit="1" customWidth="1"/>
    <col min="1911" max="1911" width="8.75" bestFit="1" customWidth="1"/>
    <col min="1912" max="1912" width="6.5" bestFit="1" customWidth="1"/>
    <col min="1913" max="1913" width="8.75" bestFit="1" customWidth="1"/>
    <col min="1914" max="1914" width="6.5" bestFit="1" customWidth="1"/>
    <col min="1915" max="1915" width="8.75" bestFit="1" customWidth="1"/>
    <col min="1916" max="1916" width="6.5" bestFit="1" customWidth="1"/>
    <col min="1917" max="1917" width="8.75" bestFit="1" customWidth="1"/>
    <col min="1918" max="1918" width="6.5" bestFit="1" customWidth="1"/>
    <col min="1919" max="1919" width="8.75" bestFit="1" customWidth="1"/>
    <col min="1920" max="1920" width="6.5" bestFit="1" customWidth="1"/>
    <col min="1921" max="1921" width="8.75" bestFit="1" customWidth="1"/>
    <col min="1922" max="1922" width="6.5" bestFit="1" customWidth="1"/>
    <col min="1923" max="1923" width="8.75" bestFit="1" customWidth="1"/>
    <col min="1924" max="1924" width="6.5" bestFit="1" customWidth="1"/>
    <col min="1925" max="1925" width="8.75" bestFit="1" customWidth="1"/>
    <col min="1926" max="1926" width="6.5" bestFit="1" customWidth="1"/>
    <col min="1927" max="1927" width="8.75" bestFit="1" customWidth="1"/>
    <col min="1928" max="1928" width="11.25" bestFit="1" customWidth="1"/>
    <col min="1929" max="1929" width="8.75" bestFit="1" customWidth="1"/>
    <col min="1930" max="1930" width="11.25" bestFit="1" customWidth="1"/>
    <col min="1931" max="1931" width="8.75" bestFit="1" customWidth="1"/>
    <col min="1932" max="1932" width="6.5" bestFit="1" customWidth="1"/>
    <col min="1933" max="1933" width="8.75" bestFit="1" customWidth="1"/>
    <col min="1934" max="1934" width="6.5" bestFit="1" customWidth="1"/>
    <col min="1935" max="1935" width="8.75" bestFit="1" customWidth="1"/>
    <col min="1936" max="1936" width="6.5" bestFit="1" customWidth="1"/>
    <col min="1937" max="1937" width="8.75" bestFit="1" customWidth="1"/>
    <col min="1938" max="1938" width="6.5" bestFit="1" customWidth="1"/>
    <col min="1939" max="1939" width="8.75" bestFit="1" customWidth="1"/>
    <col min="1940" max="1940" width="6.5" bestFit="1" customWidth="1"/>
    <col min="1941" max="1941" width="8.75" bestFit="1" customWidth="1"/>
    <col min="1942" max="1942" width="11.25" bestFit="1" customWidth="1"/>
    <col min="1943" max="1943" width="8.75" bestFit="1" customWidth="1"/>
    <col min="1944" max="1944" width="6.5" bestFit="1" customWidth="1"/>
    <col min="1945" max="1945" width="8.75" bestFit="1" customWidth="1"/>
    <col min="1946" max="1946" width="6.5" bestFit="1" customWidth="1"/>
    <col min="1947" max="1947" width="8.75" bestFit="1" customWidth="1"/>
    <col min="1948" max="1948" width="6.5" bestFit="1" customWidth="1"/>
    <col min="1949" max="1949" width="8.75" bestFit="1" customWidth="1"/>
    <col min="1950" max="1950" width="6.5" bestFit="1" customWidth="1"/>
    <col min="1951" max="1951" width="8.75" bestFit="1" customWidth="1"/>
    <col min="1952" max="1952" width="6.5" bestFit="1" customWidth="1"/>
    <col min="1953" max="1953" width="8.75" bestFit="1" customWidth="1"/>
    <col min="1954" max="1954" width="6.5" bestFit="1" customWidth="1"/>
    <col min="1955" max="1955" width="8.75" bestFit="1" customWidth="1"/>
    <col min="1956" max="1956" width="6.5" bestFit="1" customWidth="1"/>
    <col min="1957" max="1957" width="8.75" bestFit="1" customWidth="1"/>
    <col min="1958" max="1958" width="11.25" bestFit="1" customWidth="1"/>
    <col min="1959" max="1959" width="8.75" bestFit="1" customWidth="1"/>
    <col min="1960" max="1960" width="6.5" bestFit="1" customWidth="1"/>
    <col min="1961" max="1961" width="8.75" bestFit="1" customWidth="1"/>
    <col min="1962" max="1962" width="6.5" bestFit="1" customWidth="1"/>
    <col min="1963" max="1963" width="8.75" bestFit="1" customWidth="1"/>
    <col min="1964" max="1964" width="6.5" bestFit="1" customWidth="1"/>
    <col min="1965" max="1965" width="8.75" bestFit="1" customWidth="1"/>
    <col min="1966" max="1966" width="11.25" bestFit="1" customWidth="1"/>
    <col min="1967" max="1967" width="8.75" bestFit="1" customWidth="1"/>
    <col min="1968" max="1968" width="6.5" bestFit="1" customWidth="1"/>
    <col min="1969" max="1969" width="8.75" bestFit="1" customWidth="1"/>
    <col min="1970" max="1970" width="11.25" bestFit="1" customWidth="1"/>
    <col min="1971" max="1971" width="8.75" bestFit="1" customWidth="1"/>
    <col min="1972" max="1972" width="6.5" bestFit="1" customWidth="1"/>
    <col min="1973" max="1973" width="8.75" bestFit="1" customWidth="1"/>
    <col min="1974" max="1974" width="6.5" bestFit="1" customWidth="1"/>
    <col min="1975" max="1975" width="8.75" bestFit="1" customWidth="1"/>
    <col min="1976" max="1976" width="6.5" bestFit="1" customWidth="1"/>
    <col min="1977" max="1977" width="8.75" bestFit="1" customWidth="1"/>
    <col min="1978" max="1978" width="6.5" bestFit="1" customWidth="1"/>
    <col min="1979" max="1979" width="8.75" bestFit="1" customWidth="1"/>
    <col min="1980" max="1980" width="6.5" bestFit="1" customWidth="1"/>
    <col min="1981" max="1981" width="8.75" bestFit="1" customWidth="1"/>
    <col min="1982" max="1982" width="6.5" bestFit="1" customWidth="1"/>
    <col min="1983" max="1983" width="8.75" bestFit="1" customWidth="1"/>
    <col min="1984" max="1984" width="6.5" bestFit="1" customWidth="1"/>
    <col min="1985" max="1985" width="8.75" bestFit="1" customWidth="1"/>
    <col min="1986" max="1986" width="6.5" bestFit="1" customWidth="1"/>
    <col min="1987" max="1987" width="8.75" bestFit="1" customWidth="1"/>
    <col min="1988" max="1988" width="6.5" bestFit="1" customWidth="1"/>
    <col min="1989" max="1989" width="8.75" bestFit="1" customWidth="1"/>
    <col min="1990" max="1990" width="6.5" bestFit="1" customWidth="1"/>
    <col min="1991" max="1991" width="8.75" bestFit="1" customWidth="1"/>
    <col min="1992" max="1992" width="6.5" bestFit="1" customWidth="1"/>
    <col min="1993" max="1993" width="8.75" bestFit="1" customWidth="1"/>
    <col min="1994" max="1994" width="6.5" bestFit="1" customWidth="1"/>
    <col min="1995" max="1995" width="8.75" bestFit="1" customWidth="1"/>
    <col min="1996" max="1996" width="11.25" bestFit="1" customWidth="1"/>
    <col min="1997" max="1997" width="8.75" bestFit="1" customWidth="1"/>
    <col min="1998" max="1998" width="6.5" bestFit="1" customWidth="1"/>
    <col min="1999" max="1999" width="8.75" bestFit="1" customWidth="1"/>
    <col min="2000" max="2000" width="6.625" bestFit="1" customWidth="1"/>
    <col min="2001" max="2001" width="9.75" bestFit="1" customWidth="1"/>
    <col min="2002" max="2002" width="10.75" bestFit="1" customWidth="1"/>
  </cols>
  <sheetData>
    <row r="3" spans="1:4">
      <c r="A3" s="13" t="s">
        <v>0</v>
      </c>
      <c r="B3" s="13" t="s">
        <v>9</v>
      </c>
    </row>
    <row r="4" spans="1:4">
      <c r="A4" s="13" t="s">
        <v>2</v>
      </c>
      <c r="B4" t="s">
        <v>10</v>
      </c>
      <c r="C4" t="s">
        <v>11</v>
      </c>
      <c r="D4" t="s">
        <v>5</v>
      </c>
    </row>
    <row r="5" spans="1:4">
      <c r="A5" t="s">
        <v>6</v>
      </c>
      <c r="B5">
        <v>102115</v>
      </c>
      <c r="C5">
        <v>41400</v>
      </c>
      <c r="D5">
        <v>143515</v>
      </c>
    </row>
    <row r="6" spans="1:4">
      <c r="A6" t="s">
        <v>7</v>
      </c>
      <c r="B6">
        <v>109430</v>
      </c>
      <c r="C6">
        <v>46150</v>
      </c>
      <c r="D6">
        <v>155580</v>
      </c>
    </row>
    <row r="7" spans="1:4">
      <c r="A7" t="s">
        <v>8</v>
      </c>
      <c r="B7">
        <v>121300</v>
      </c>
      <c r="C7">
        <v>35605</v>
      </c>
      <c r="D7">
        <v>156905</v>
      </c>
    </row>
    <row r="8" spans="1:4">
      <c r="A8" t="s">
        <v>5</v>
      </c>
      <c r="B8">
        <v>332845</v>
      </c>
      <c r="C8">
        <v>123155</v>
      </c>
      <c r="D8" s="10">
        <v>456000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0"/>
  <sheetViews>
    <sheetView tabSelected="1" workbookViewId="0">
      <selection activeCell="D14" sqref="D14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4">
      <c r="A1" s="1" t="s">
        <v>12</v>
      </c>
      <c r="B1" s="1" t="s">
        <v>13</v>
      </c>
      <c r="C1" s="1" t="s">
        <v>14</v>
      </c>
      <c r="D1" s="14" t="s">
        <v>15</v>
      </c>
    </row>
    <row r="2" spans="1:4">
      <c r="A2">
        <v>10</v>
      </c>
      <c r="B2">
        <f>VLOOKUP(A2, retail_sales_dataset!A1:Q1001, COLUMN(O1), FALSE)</f>
        <v>200</v>
      </c>
      <c r="C2" t="str">
        <f>VLOOKUP(A2, retail_sales_dataset!A1:Q1001,12, FALSE)</f>
        <v>Clothing</v>
      </c>
      <c r="D2" t="str">
        <f>CONCATENATE(B2,C2)</f>
        <v>200Clothing</v>
      </c>
    </row>
    <row r="3" spans="1:4">
      <c r="A3">
        <v>15</v>
      </c>
      <c r="B3" cm="1">
        <f t="array" ref="B3">VLOOKUP(A3, retail_sales_dataset!A1:Q1001, COLUMN(retail_sales_dataset!O:O), FALSE)</f>
        <v>2000</v>
      </c>
      <c r="C3" t="str">
        <f>VLOOKUP(A3, retail_sales_dataset!A2:Q1002,12, FALSE)</f>
        <v>Electronics</v>
      </c>
      <c r="D3" t="str">
        <f t="shared" ref="D3:D10" si="0">CONCATENATE(B3,C3)</f>
        <v>2000Electronics</v>
      </c>
    </row>
    <row r="4" spans="1:4">
      <c r="A4">
        <v>25</v>
      </c>
      <c r="B4" cm="1">
        <f t="array" ref="B4">VLOOKUP(A4, retail_sales_dataset!A2:Q1002, COLUMN(retail_sales_dataset!O:O), FALSE)</f>
        <v>50</v>
      </c>
      <c r="C4" t="str">
        <f>VLOOKUP(A4, retail_sales_dataset!A3:Q1003,12, FALSE)</f>
        <v>Beauty</v>
      </c>
      <c r="D4" t="str">
        <f t="shared" si="0"/>
        <v>50Beauty</v>
      </c>
    </row>
    <row r="5" spans="1:4">
      <c r="A5">
        <v>30</v>
      </c>
      <c r="B5" cm="1">
        <f t="array" ref="B5">VLOOKUP(A5, retail_sales_dataset!A3:Q1003, COLUMN(retail_sales_dataset!O:O), FALSE)</f>
        <v>900</v>
      </c>
      <c r="C5" t="str">
        <f>VLOOKUP(A5, retail_sales_dataset!A4:Q1004,12, FALSE)</f>
        <v>Beauty</v>
      </c>
      <c r="D5" t="str">
        <f t="shared" si="0"/>
        <v>900Beauty</v>
      </c>
    </row>
    <row r="6" spans="1:4">
      <c r="A6">
        <v>54</v>
      </c>
      <c r="B6" cm="1">
        <f t="array" ref="B6">VLOOKUP(A6, retail_sales_dataset!A4:Q1004, COLUMN(retail_sales_dataset!O:O), FALSE)</f>
        <v>1500</v>
      </c>
      <c r="C6" t="str">
        <f>VLOOKUP(A6, retail_sales_dataset!A5:Q1005,12, FALSE)</f>
        <v>Electronics</v>
      </c>
      <c r="D6" t="str">
        <f t="shared" si="0"/>
        <v>1500Electronics</v>
      </c>
    </row>
    <row r="7" spans="1:4">
      <c r="A7">
        <v>55</v>
      </c>
      <c r="B7" cm="1">
        <f t="array" ref="B7">VLOOKUP(A7, retail_sales_dataset!A5:Q1005, COLUMN(retail_sales_dataset!O:O), FALSE)</f>
        <v>120</v>
      </c>
      <c r="C7" t="str">
        <f>VLOOKUP(A7, retail_sales_dataset!A6:Q1006,12, FALSE)</f>
        <v>Beauty</v>
      </c>
      <c r="D7" t="str">
        <f t="shared" si="0"/>
        <v>120Beauty</v>
      </c>
    </row>
    <row r="8" spans="1:4">
      <c r="A8">
        <v>67</v>
      </c>
      <c r="B8" cm="1">
        <f t="array" ref="B8">VLOOKUP(A8, retail_sales_dataset!A6:Q1006, COLUMN(retail_sales_dataset!O:O), FALSE)</f>
        <v>1200</v>
      </c>
      <c r="C8" t="str">
        <f>VLOOKUP(A8, retail_sales_dataset!A7:Q1007,12, FALSE)</f>
        <v>Beauty</v>
      </c>
      <c r="D8" t="str">
        <f t="shared" si="0"/>
        <v>1200Beauty</v>
      </c>
    </row>
    <row r="9" spans="1:4">
      <c r="A9">
        <v>89</v>
      </c>
      <c r="B9" cm="1">
        <f t="array" ref="B9">VLOOKUP(A9, retail_sales_dataset!A7:Q1007, COLUMN(retail_sales_dataset!O:O), FALSE)</f>
        <v>2000</v>
      </c>
      <c r="C9" t="str">
        <f>VLOOKUP(A9, retail_sales_dataset!A8:Q1008,12, FALSE)</f>
        <v>Electronics</v>
      </c>
      <c r="D9" t="str">
        <f t="shared" si="0"/>
        <v>2000Electronics</v>
      </c>
    </row>
    <row r="10" spans="1:4">
      <c r="A10">
        <v>100</v>
      </c>
      <c r="B10" cm="1">
        <f t="array" ref="B10">VLOOKUP(A10, retail_sales_dataset!A8:Q1008, COLUMN(retail_sales_dataset!O:O), FALSE)</f>
        <v>30</v>
      </c>
      <c r="C10" t="str">
        <f>VLOOKUP(A10, retail_sales_dataset!A9:Q1009,12, FALSE)</f>
        <v>Electronics</v>
      </c>
      <c r="D10" t="str">
        <f t="shared" si="0"/>
        <v>30Electronics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01"/>
  <sheetViews>
    <sheetView workbookViewId="0">
      <selection activeCell="D3" sqref="D3"/>
    </sheetView>
  </sheetViews>
  <sheetFormatPr defaultColWidth="11.25" defaultRowHeight="15.75"/>
  <cols>
    <col min="1" max="6" width="14.75" customWidth="1"/>
    <col min="7" max="7" width="10.625" bestFit="1" customWidth="1"/>
    <col min="8" max="8" width="13.25" bestFit="1" customWidth="1"/>
    <col min="12" max="12" width="17.125" customWidth="1"/>
    <col min="14" max="14" width="14.375" bestFit="1" customWidth="1"/>
    <col min="16" max="16" width="18.5" bestFit="1" customWidth="1"/>
    <col min="17" max="17" width="17.25" customWidth="1"/>
    <col min="18" max="18" width="18.875" customWidth="1"/>
    <col min="19" max="19" width="12" bestFit="1" customWidth="1"/>
    <col min="20" max="20" width="15.25" customWidth="1"/>
  </cols>
  <sheetData>
    <row r="1" spans="1:21" s="24" customFormat="1">
      <c r="A1" s="18" t="s">
        <v>12</v>
      </c>
      <c r="B1" s="19" t="s">
        <v>16</v>
      </c>
      <c r="C1" s="20" t="s">
        <v>17</v>
      </c>
      <c r="D1" s="20" t="s">
        <v>18</v>
      </c>
      <c r="E1" s="20" t="s">
        <v>19</v>
      </c>
      <c r="F1" s="20" t="s">
        <v>20</v>
      </c>
      <c r="G1" s="19" t="s">
        <v>21</v>
      </c>
      <c r="H1" s="19" t="s">
        <v>22</v>
      </c>
      <c r="I1" s="19" t="s">
        <v>1</v>
      </c>
      <c r="J1" s="19" t="s">
        <v>23</v>
      </c>
      <c r="K1" s="19" t="s">
        <v>24</v>
      </c>
      <c r="L1" s="19" t="s">
        <v>2</v>
      </c>
      <c r="M1" s="19" t="s">
        <v>25</v>
      </c>
      <c r="N1" s="21" t="s">
        <v>26</v>
      </c>
      <c r="O1" s="22" t="s">
        <v>27</v>
      </c>
      <c r="P1" s="23" t="s">
        <v>28</v>
      </c>
      <c r="Q1" s="23" t="s">
        <v>29</v>
      </c>
    </row>
    <row r="2" spans="1:21">
      <c r="A2" s="15">
        <v>1</v>
      </c>
      <c r="B2">
        <f>DAY(G2)</f>
        <v>24</v>
      </c>
      <c r="C2">
        <f>MONTH(G2)</f>
        <v>11</v>
      </c>
      <c r="D2">
        <f>YEAR(G2)</f>
        <v>2023</v>
      </c>
      <c r="E2" t="str">
        <f>TEXT(G2,"DDDD")</f>
        <v>Friday</v>
      </c>
      <c r="F2" t="str">
        <f>TEXT(G2,"MMMM")</f>
        <v>November</v>
      </c>
      <c r="G2" s="16">
        <v>45254</v>
      </c>
      <c r="H2" t="s">
        <v>30</v>
      </c>
      <c r="I2" t="s">
        <v>4</v>
      </c>
      <c r="J2" t="str" cm="1">
        <f t="array" ref="J2">_xlfn.IFS(K2&gt;=50,"Senior",K2&gt;=30,"Adult",K2&lt;30,"Young Adult")</f>
        <v>Adult</v>
      </c>
      <c r="K2">
        <v>34</v>
      </c>
      <c r="L2" t="s">
        <v>6</v>
      </c>
      <c r="M2">
        <v>3</v>
      </c>
      <c r="N2" s="17">
        <v>50</v>
      </c>
      <c r="O2">
        <f>(M2*N2)</f>
        <v>150</v>
      </c>
      <c r="P2">
        <f>O2*$S$3</f>
        <v>2.25</v>
      </c>
      <c r="Q2">
        <f>O2*$S$4</f>
        <v>3</v>
      </c>
      <c r="S2" s="10" t="s">
        <v>31</v>
      </c>
    </row>
    <row r="3" spans="1:21">
      <c r="A3" s="2">
        <v>2</v>
      </c>
      <c r="B3" s="4">
        <f>DAY(G3)</f>
        <v>27</v>
      </c>
      <c r="C3">
        <f>MONTH(G3)</f>
        <v>2</v>
      </c>
      <c r="D3">
        <f>YEAR(G3)</f>
        <v>2023</v>
      </c>
      <c r="E3" t="str">
        <f>TEXT(G3,"DDDD")</f>
        <v>Monday</v>
      </c>
      <c r="F3" t="str">
        <f>TEXT(G3,"MMMM")</f>
        <v>February</v>
      </c>
      <c r="G3" s="3">
        <v>44984</v>
      </c>
      <c r="H3" s="4" t="s">
        <v>32</v>
      </c>
      <c r="I3" s="4" t="s">
        <v>3</v>
      </c>
      <c r="J3" s="4" t="str">
        <f>IF(K3&lt;30, "Young Adult","Adult")</f>
        <v>Young Adult</v>
      </c>
      <c r="K3" s="4">
        <v>26</v>
      </c>
      <c r="L3" s="4" t="s">
        <v>7</v>
      </c>
      <c r="M3" s="4">
        <v>2</v>
      </c>
      <c r="N3" s="5">
        <v>500</v>
      </c>
      <c r="O3">
        <f>(M3*N3)</f>
        <v>1000</v>
      </c>
      <c r="P3">
        <f>O3*$S$3</f>
        <v>15</v>
      </c>
      <c r="Q3">
        <f>O3*$S$4</f>
        <v>20</v>
      </c>
      <c r="R3" t="s">
        <v>28</v>
      </c>
      <c r="S3" s="11">
        <v>1.4999999999999999E-2</v>
      </c>
    </row>
    <row r="4" spans="1:21">
      <c r="A4" s="2">
        <v>3</v>
      </c>
      <c r="B4" s="4">
        <f>DAY(G4)</f>
        <v>13</v>
      </c>
      <c r="C4">
        <f>MONTH(G4)</f>
        <v>1</v>
      </c>
      <c r="D4">
        <f>YEAR(G4)</f>
        <v>2023</v>
      </c>
      <c r="E4" t="str">
        <f>TEXT(G4,"DDDD")</f>
        <v>Friday</v>
      </c>
      <c r="F4" t="str">
        <f>TEXT(G4,"MMMM")</f>
        <v>January</v>
      </c>
      <c r="G4" s="3">
        <v>44939</v>
      </c>
      <c r="H4" s="4" t="s">
        <v>33</v>
      </c>
      <c r="I4" s="4" t="s">
        <v>4</v>
      </c>
      <c r="J4" s="4" t="str" cm="1">
        <f t="array" ref="J4">_xlfn.IFS(K2&gt;=30,"Senior",K2&gt;=30,"Adult",K2&lt;30,"Young Adult")</f>
        <v>Senior</v>
      </c>
      <c r="K4" s="4">
        <v>50</v>
      </c>
      <c r="L4" s="4" t="s">
        <v>8</v>
      </c>
      <c r="M4" s="4">
        <v>1</v>
      </c>
      <c r="N4" s="5">
        <v>30</v>
      </c>
      <c r="O4">
        <f>(M4*N4)</f>
        <v>30</v>
      </c>
      <c r="P4">
        <f>O4*$S$3</f>
        <v>0.44999999999999996</v>
      </c>
      <c r="Q4">
        <f>O4*$S$4</f>
        <v>0.6</v>
      </c>
      <c r="R4" t="s">
        <v>29</v>
      </c>
      <c r="S4" s="12">
        <v>0.02</v>
      </c>
    </row>
    <row r="5" spans="1:21">
      <c r="A5" s="2">
        <v>4</v>
      </c>
      <c r="B5" s="4">
        <f>DAY(G5)</f>
        <v>21</v>
      </c>
      <c r="C5">
        <f>MONTH(G5)</f>
        <v>5</v>
      </c>
      <c r="D5">
        <f>YEAR(G5)</f>
        <v>2023</v>
      </c>
      <c r="E5" t="str">
        <f>TEXT(G5,"DDDD")</f>
        <v>Sunday</v>
      </c>
      <c r="F5" t="str">
        <f>TEXT(G5,"MMMM")</f>
        <v>May</v>
      </c>
      <c r="G5" s="3">
        <v>45067</v>
      </c>
      <c r="H5" s="4" t="s">
        <v>34</v>
      </c>
      <c r="I5" s="4" t="s">
        <v>4</v>
      </c>
      <c r="J5" s="4" t="str">
        <f>IF(K5&lt;30, "Young Adult","Adult")</f>
        <v>Adult</v>
      </c>
      <c r="K5" s="4">
        <v>37</v>
      </c>
      <c r="L5" s="4" t="s">
        <v>7</v>
      </c>
      <c r="M5" s="4">
        <v>1</v>
      </c>
      <c r="N5" s="5">
        <v>500</v>
      </c>
      <c r="O5">
        <f>(M5*N5)</f>
        <v>500</v>
      </c>
      <c r="P5">
        <f>O5*$S$3</f>
        <v>7.5</v>
      </c>
      <c r="Q5">
        <f>O5*$S$4</f>
        <v>10</v>
      </c>
    </row>
    <row r="6" spans="1:21">
      <c r="A6" s="2">
        <v>5</v>
      </c>
      <c r="B6" s="4">
        <f>DAY(G6)</f>
        <v>6</v>
      </c>
      <c r="C6">
        <f>MONTH(G6)</f>
        <v>5</v>
      </c>
      <c r="D6">
        <f>YEAR(G6)</f>
        <v>2023</v>
      </c>
      <c r="E6" t="str">
        <f>TEXT(G6,"DDDD")</f>
        <v>Saturday</v>
      </c>
      <c r="F6" t="str">
        <f>TEXT(G6,"MMMM")</f>
        <v>May</v>
      </c>
      <c r="G6" s="3">
        <v>45052</v>
      </c>
      <c r="H6" s="4" t="s">
        <v>35</v>
      </c>
      <c r="I6" s="4" t="s">
        <v>4</v>
      </c>
      <c r="J6" s="4" t="str">
        <f>IF(K6&lt;30, "Young Adult","Adult")</f>
        <v>Adult</v>
      </c>
      <c r="K6" s="4">
        <v>30</v>
      </c>
      <c r="L6" s="4" t="s">
        <v>6</v>
      </c>
      <c r="M6" s="4">
        <v>2</v>
      </c>
      <c r="N6" s="5">
        <v>50</v>
      </c>
      <c r="O6">
        <f>(M6*N6)</f>
        <v>100</v>
      </c>
      <c r="P6">
        <f>O6*$S$3</f>
        <v>1.5</v>
      </c>
      <c r="Q6">
        <f>O6*$S$4</f>
        <v>2</v>
      </c>
    </row>
    <row r="7" spans="1:21">
      <c r="A7" s="2">
        <v>6</v>
      </c>
      <c r="B7" s="4">
        <f>DAY(G7)</f>
        <v>25</v>
      </c>
      <c r="C7">
        <f>MONTH(G7)</f>
        <v>4</v>
      </c>
      <c r="D7">
        <f>YEAR(G7)</f>
        <v>2023</v>
      </c>
      <c r="E7" t="str">
        <f>TEXT(G7,"DDDD")</f>
        <v>Tuesday</v>
      </c>
      <c r="F7" t="str">
        <f>TEXT(G7,"MMMM")</f>
        <v>April</v>
      </c>
      <c r="G7" s="3">
        <v>45041</v>
      </c>
      <c r="H7" s="4" t="s">
        <v>36</v>
      </c>
      <c r="I7" s="4" t="s">
        <v>3</v>
      </c>
      <c r="J7" s="4" t="str">
        <f>IF(K7&lt;30, "Young Adult","Adult")</f>
        <v>Adult</v>
      </c>
      <c r="K7" s="4">
        <v>45</v>
      </c>
      <c r="L7" s="4" t="s">
        <v>6</v>
      </c>
      <c r="M7" s="4">
        <v>1</v>
      </c>
      <c r="N7" s="5">
        <v>30</v>
      </c>
      <c r="O7">
        <f>(M7*N7)</f>
        <v>30</v>
      </c>
      <c r="P7">
        <f>O7*$S$3</f>
        <v>0.44999999999999996</v>
      </c>
      <c r="Q7">
        <f>O7*$S$4</f>
        <v>0.6</v>
      </c>
    </row>
    <row r="8" spans="1:21">
      <c r="A8" s="2">
        <v>7</v>
      </c>
      <c r="B8" s="4">
        <f>DAY(G8)</f>
        <v>13</v>
      </c>
      <c r="C8">
        <f>MONTH(G8)</f>
        <v>3</v>
      </c>
      <c r="D8">
        <f>YEAR(G8)</f>
        <v>2023</v>
      </c>
      <c r="E8" t="str">
        <f>TEXT(G8,"DDDD")</f>
        <v>Monday</v>
      </c>
      <c r="F8" t="str">
        <f>TEXT(G8,"MMMM")</f>
        <v>March</v>
      </c>
      <c r="G8" s="3">
        <v>44998</v>
      </c>
      <c r="H8" s="4" t="s">
        <v>37</v>
      </c>
      <c r="I8" s="4" t="s">
        <v>4</v>
      </c>
      <c r="J8" s="4" t="str">
        <f>IF(K8&lt;30, "Young Adult","Adult")</f>
        <v>Adult</v>
      </c>
      <c r="K8" s="4">
        <v>46</v>
      </c>
      <c r="L8" s="4" t="s">
        <v>7</v>
      </c>
      <c r="M8" s="4">
        <v>2</v>
      </c>
      <c r="N8" s="5">
        <v>25</v>
      </c>
      <c r="O8">
        <f>(M8*N8)</f>
        <v>50</v>
      </c>
      <c r="P8">
        <f>O8*$S$3</f>
        <v>0.75</v>
      </c>
      <c r="Q8">
        <f>O8*$S$4</f>
        <v>1</v>
      </c>
    </row>
    <row r="9" spans="1:21">
      <c r="A9" s="2">
        <v>8</v>
      </c>
      <c r="B9" s="4">
        <f>DAY(G9)</f>
        <v>22</v>
      </c>
      <c r="C9">
        <f>MONTH(G9)</f>
        <v>2</v>
      </c>
      <c r="D9">
        <f>YEAR(G9)</f>
        <v>2023</v>
      </c>
      <c r="E9" t="str">
        <f>TEXT(G9,"DDDD")</f>
        <v>Wednesday</v>
      </c>
      <c r="F9" t="str">
        <f>TEXT(G9,"MMMM")</f>
        <v>February</v>
      </c>
      <c r="G9" s="3">
        <v>44979</v>
      </c>
      <c r="H9" s="4" t="s">
        <v>38</v>
      </c>
      <c r="I9" s="4" t="s">
        <v>4</v>
      </c>
      <c r="J9" s="4" t="str">
        <f>IF(K9&lt;30, "Young Adult","Adult")</f>
        <v>Adult</v>
      </c>
      <c r="K9" s="4">
        <v>30</v>
      </c>
      <c r="L9" s="4" t="s">
        <v>8</v>
      </c>
      <c r="M9" s="4">
        <v>4</v>
      </c>
      <c r="N9" s="5">
        <v>25</v>
      </c>
      <c r="O9">
        <f>(M9*N9)</f>
        <v>100</v>
      </c>
      <c r="P9">
        <f>O9*$S$3</f>
        <v>1.5</v>
      </c>
      <c r="Q9">
        <f>O9*$S$4</f>
        <v>2</v>
      </c>
      <c r="S9" t="s">
        <v>39</v>
      </c>
      <c r="T9" t="s">
        <v>25</v>
      </c>
    </row>
    <row r="10" spans="1:21">
      <c r="A10" s="2">
        <v>9</v>
      </c>
      <c r="B10" s="4">
        <f>DAY(G10)</f>
        <v>13</v>
      </c>
      <c r="C10">
        <f>MONTH(G10)</f>
        <v>12</v>
      </c>
      <c r="D10">
        <f>YEAR(G10)</f>
        <v>2023</v>
      </c>
      <c r="E10" t="str">
        <f>TEXT(G10,"DDDD")</f>
        <v>Wednesday</v>
      </c>
      <c r="F10" t="str">
        <f>TEXT(G10,"MMMM")</f>
        <v>December</v>
      </c>
      <c r="G10" s="3">
        <v>45273</v>
      </c>
      <c r="H10" s="4" t="s">
        <v>40</v>
      </c>
      <c r="I10" s="4" t="s">
        <v>4</v>
      </c>
      <c r="J10" s="4" t="str" cm="1">
        <f t="array" ref="J10">_xlfn.IFS(K2&gt;=30,"Senior",K2&gt;=30,"Adult",K2&lt;30,"Young Adult")</f>
        <v>Senior</v>
      </c>
      <c r="K10" s="4">
        <v>63</v>
      </c>
      <c r="L10" s="4" t="s">
        <v>8</v>
      </c>
      <c r="M10" s="4">
        <v>2</v>
      </c>
      <c r="N10" s="5">
        <v>300</v>
      </c>
      <c r="O10">
        <f>(M10*N10)</f>
        <v>600</v>
      </c>
      <c r="P10">
        <f>O10*$S$3</f>
        <v>9</v>
      </c>
      <c r="Q10">
        <f>O10*$S$4</f>
        <v>12</v>
      </c>
      <c r="R10" t="s">
        <v>41</v>
      </c>
      <c r="S10" s="10">
        <f>SUM(O1:O1001)</f>
        <v>456000</v>
      </c>
      <c r="T10" t="s">
        <v>42</v>
      </c>
      <c r="U10" t="s">
        <v>4</v>
      </c>
    </row>
    <row r="11" spans="1:21">
      <c r="A11" s="2">
        <v>10</v>
      </c>
      <c r="B11" s="4">
        <f>DAY(G11)</f>
        <v>7</v>
      </c>
      <c r="C11">
        <f>MONTH(G11)</f>
        <v>10</v>
      </c>
      <c r="D11">
        <f>YEAR(G11)</f>
        <v>2023</v>
      </c>
      <c r="E11" t="str">
        <f>TEXT(G11,"DDDD")</f>
        <v>Saturday</v>
      </c>
      <c r="F11" t="str">
        <f>TEXT(G11,"MMMM")</f>
        <v>October</v>
      </c>
      <c r="G11" s="3">
        <v>45206</v>
      </c>
      <c r="H11" s="4" t="s">
        <v>43</v>
      </c>
      <c r="I11" s="4" t="s">
        <v>3</v>
      </c>
      <c r="J11" s="4" t="str" cm="1">
        <f t="array" ref="J11">_xlfn.IFS(K2&gt;=30,"Senior",K2&gt;=30,"Adult",K2&lt;30,"Young Adult")</f>
        <v>Senior</v>
      </c>
      <c r="K11" s="4">
        <v>52</v>
      </c>
      <c r="L11" s="4" t="s">
        <v>7</v>
      </c>
      <c r="M11" s="4">
        <v>4</v>
      </c>
      <c r="N11" s="5">
        <v>50</v>
      </c>
      <c r="O11">
        <f>(M11*N11)</f>
        <v>200</v>
      </c>
      <c r="P11">
        <f>O11*$S$3</f>
        <v>3</v>
      </c>
      <c r="Q11">
        <f>O11*$S$4</f>
        <v>4</v>
      </c>
      <c r="R11" t="s">
        <v>6</v>
      </c>
      <c r="S11" s="10">
        <f>SUMIF(L2:L1001,"BEAUTY", O2:O1001)</f>
        <v>143515</v>
      </c>
      <c r="T11">
        <f>SUMIFS(M2:M1001,I2:I1001,"Female",L2:L1001,"Beauty")</f>
        <v>418</v>
      </c>
      <c r="U11">
        <f>SUMIFS(M2:M1001,I2:I1001,"male",L2:L1001,"Beauty")</f>
        <v>353</v>
      </c>
    </row>
    <row r="12" spans="1:21">
      <c r="A12" s="2">
        <v>11</v>
      </c>
      <c r="B12" s="4">
        <f>DAY(G12)</f>
        <v>14</v>
      </c>
      <c r="C12">
        <f>MONTH(G12)</f>
        <v>2</v>
      </c>
      <c r="D12">
        <f>YEAR(G12)</f>
        <v>2023</v>
      </c>
      <c r="E12" t="str">
        <f>TEXT(G12,"DDDD")</f>
        <v>Tuesday</v>
      </c>
      <c r="F12" t="str">
        <f>TEXT(G12,"MMMM")</f>
        <v>February</v>
      </c>
      <c r="G12" s="3">
        <v>44971</v>
      </c>
      <c r="H12" s="4" t="s">
        <v>44</v>
      </c>
      <c r="I12" s="4" t="s">
        <v>4</v>
      </c>
      <c r="J12" s="4" t="str">
        <f>IF(K12&lt;30, "Young Adult","Adult")</f>
        <v>Young Adult</v>
      </c>
      <c r="K12" s="4">
        <v>23</v>
      </c>
      <c r="L12" s="4" t="s">
        <v>7</v>
      </c>
      <c r="M12" s="4">
        <v>2</v>
      </c>
      <c r="N12" s="5">
        <v>50</v>
      </c>
      <c r="O12">
        <f>(M12*N12)</f>
        <v>100</v>
      </c>
      <c r="P12">
        <f>O12*$S$3</f>
        <v>1.5</v>
      </c>
      <c r="Q12">
        <f>O12*$S$4</f>
        <v>2</v>
      </c>
      <c r="R12" t="s">
        <v>7</v>
      </c>
      <c r="S12" s="10">
        <f>SUMIF(L3:L1001,"Clothing",O3:O1001)</f>
        <v>155580</v>
      </c>
      <c r="T12">
        <f>SUMIFS(M3:M1001,I3:I1001,"Female",L3:L1001,"Clothing")</f>
        <v>441</v>
      </c>
      <c r="U12">
        <f>SUMIFS(M3:M1001,I3:I1001,"male",L3:L1001,"Clothing")</f>
        <v>453</v>
      </c>
    </row>
    <row r="13" spans="1:21">
      <c r="A13" s="2">
        <v>12</v>
      </c>
      <c r="B13" s="4">
        <f>DAY(G13)</f>
        <v>30</v>
      </c>
      <c r="C13">
        <f>MONTH(G13)</f>
        <v>10</v>
      </c>
      <c r="D13">
        <f>YEAR(G13)</f>
        <v>2023</v>
      </c>
      <c r="E13" t="str">
        <f>TEXT(G13,"DDDD")</f>
        <v>Monday</v>
      </c>
      <c r="F13" t="str">
        <f>TEXT(G13,"MMMM")</f>
        <v>October</v>
      </c>
      <c r="G13" s="3">
        <v>45229</v>
      </c>
      <c r="H13" s="4" t="s">
        <v>45</v>
      </c>
      <c r="I13" s="4" t="s">
        <v>4</v>
      </c>
      <c r="J13" s="4" t="str">
        <f>IF(K13&lt;30, "Young Adult","Adult")</f>
        <v>Adult</v>
      </c>
      <c r="K13" s="4">
        <v>35</v>
      </c>
      <c r="L13" s="4" t="s">
        <v>6</v>
      </c>
      <c r="M13" s="4">
        <v>3</v>
      </c>
      <c r="N13" s="5">
        <v>25</v>
      </c>
      <c r="O13">
        <f>(M13*N13)</f>
        <v>75</v>
      </c>
      <c r="P13">
        <f>O13*$S$3</f>
        <v>1.125</v>
      </c>
      <c r="Q13">
        <f>O13*$S$4</f>
        <v>1.5</v>
      </c>
      <c r="R13" t="s">
        <v>8</v>
      </c>
      <c r="S13" s="10">
        <f>SUMIF(L4:L1001,"Electronics",O4:O1001)</f>
        <v>156905</v>
      </c>
      <c r="T13">
        <f>SUMIFS(M2:M1001,I2:I1001,"Female",L2:L1001,"Electronics")</f>
        <v>439</v>
      </c>
      <c r="U13">
        <f>SUMIFS(M2:M1001,I2:I1001,"male",L2:L1001,"Electronics")</f>
        <v>410</v>
      </c>
    </row>
    <row r="14" spans="1:21">
      <c r="A14" s="2">
        <v>13</v>
      </c>
      <c r="B14" s="4">
        <f>DAY(G14)</f>
        <v>5</v>
      </c>
      <c r="C14">
        <f>MONTH(G14)</f>
        <v>8</v>
      </c>
      <c r="D14">
        <f>YEAR(G14)</f>
        <v>2023</v>
      </c>
      <c r="E14" t="str">
        <f>TEXT(G14,"DDDD")</f>
        <v>Saturday</v>
      </c>
      <c r="F14" t="str">
        <f>TEXT(G14,"MMMM")</f>
        <v>August</v>
      </c>
      <c r="G14" s="3">
        <v>45143</v>
      </c>
      <c r="H14" s="4" t="s">
        <v>46</v>
      </c>
      <c r="I14" s="4" t="s">
        <v>4</v>
      </c>
      <c r="J14" s="4" t="str">
        <f>IF(K14&lt;30, "Young Adult","Adult")</f>
        <v>Young Adult</v>
      </c>
      <c r="K14" s="4">
        <v>22</v>
      </c>
      <c r="L14" s="4" t="s">
        <v>8</v>
      </c>
      <c r="M14" s="4">
        <v>3</v>
      </c>
      <c r="N14" s="5">
        <v>500</v>
      </c>
      <c r="O14">
        <f>(M14*N14)</f>
        <v>1500</v>
      </c>
      <c r="P14">
        <f>O14*$S$3</f>
        <v>22.5</v>
      </c>
      <c r="Q14">
        <f>O14*$S$4</f>
        <v>30</v>
      </c>
    </row>
    <row r="15" spans="1:21">
      <c r="A15" s="2">
        <v>14</v>
      </c>
      <c r="B15" s="4">
        <f>DAY(G15)</f>
        <v>17</v>
      </c>
      <c r="C15">
        <f>MONTH(G15)</f>
        <v>1</v>
      </c>
      <c r="D15">
        <f>YEAR(G15)</f>
        <v>2023</v>
      </c>
      <c r="E15" t="str">
        <f>TEXT(G15,"DDDD")</f>
        <v>Tuesday</v>
      </c>
      <c r="F15" t="str">
        <f>TEXT(G15,"MMMM")</f>
        <v>January</v>
      </c>
      <c r="G15" s="3">
        <v>44943</v>
      </c>
      <c r="H15" s="4" t="s">
        <v>47</v>
      </c>
      <c r="I15" s="4" t="s">
        <v>4</v>
      </c>
      <c r="J15" s="4" t="str" cm="1">
        <f t="array" ref="J15">_xlfn.IFS(K2&gt;=30,"Senior",K2&gt;=30,"Adult",K2&lt;30,"Young Adult")</f>
        <v>Senior</v>
      </c>
      <c r="K15" s="4">
        <v>64</v>
      </c>
      <c r="L15" s="4" t="s">
        <v>7</v>
      </c>
      <c r="M15" s="4">
        <v>4</v>
      </c>
      <c r="N15" s="5">
        <v>30</v>
      </c>
      <c r="O15">
        <f>(M15*N15)</f>
        <v>120</v>
      </c>
      <c r="P15">
        <f>O15*$S$3</f>
        <v>1.7999999999999998</v>
      </c>
      <c r="Q15">
        <f>O15*$S$4</f>
        <v>2.4</v>
      </c>
    </row>
    <row r="16" spans="1:21">
      <c r="A16" s="2">
        <v>15</v>
      </c>
      <c r="B16" s="4">
        <f>DAY(G16)</f>
        <v>16</v>
      </c>
      <c r="C16">
        <f>MONTH(G16)</f>
        <v>1</v>
      </c>
      <c r="D16">
        <f>YEAR(G16)</f>
        <v>2023</v>
      </c>
      <c r="E16" t="str">
        <f>TEXT(G16,"DDDD")</f>
        <v>Monday</v>
      </c>
      <c r="F16" t="str">
        <f>TEXT(G16,"MMMM")</f>
        <v>January</v>
      </c>
      <c r="G16" s="3">
        <v>44942</v>
      </c>
      <c r="H16" s="4" t="s">
        <v>48</v>
      </c>
      <c r="I16" s="4" t="s">
        <v>3</v>
      </c>
      <c r="J16" s="4" t="str">
        <f>IF(K16&lt;30, "Young Adult","Adult")</f>
        <v>Adult</v>
      </c>
      <c r="K16" s="4">
        <v>42</v>
      </c>
      <c r="L16" s="4" t="s">
        <v>8</v>
      </c>
      <c r="M16" s="4">
        <v>4</v>
      </c>
      <c r="N16" s="5">
        <v>500</v>
      </c>
      <c r="O16">
        <f>(M16*N16)</f>
        <v>2000</v>
      </c>
      <c r="P16">
        <f>O16*$S$3</f>
        <v>30</v>
      </c>
      <c r="Q16">
        <f>O16*$S$4</f>
        <v>40</v>
      </c>
    </row>
    <row r="17" spans="1:17">
      <c r="A17" s="2">
        <v>16</v>
      </c>
      <c r="B17" s="4">
        <f>DAY(G17)</f>
        <v>17</v>
      </c>
      <c r="C17">
        <f>MONTH(G17)</f>
        <v>2</v>
      </c>
      <c r="D17">
        <f>YEAR(G17)</f>
        <v>2023</v>
      </c>
      <c r="E17" t="str">
        <f>TEXT(G17,"DDDD")</f>
        <v>Friday</v>
      </c>
      <c r="F17" t="str">
        <f>TEXT(G17,"MMMM")</f>
        <v>February</v>
      </c>
      <c r="G17" s="3">
        <v>44974</v>
      </c>
      <c r="H17" s="4" t="s">
        <v>49</v>
      </c>
      <c r="I17" s="4" t="s">
        <v>4</v>
      </c>
      <c r="J17" s="4" t="str">
        <f>IF(K17&lt;30, "Young Adult","Adult")</f>
        <v>Young Adult</v>
      </c>
      <c r="K17" s="4">
        <v>19</v>
      </c>
      <c r="L17" s="4" t="s">
        <v>7</v>
      </c>
      <c r="M17" s="4">
        <v>3</v>
      </c>
      <c r="N17" s="5">
        <v>500</v>
      </c>
      <c r="O17">
        <f>(M17*N17)</f>
        <v>1500</v>
      </c>
      <c r="P17">
        <f>O17*$S$3</f>
        <v>22.5</v>
      </c>
      <c r="Q17">
        <f>O17*$S$4</f>
        <v>30</v>
      </c>
    </row>
    <row r="18" spans="1:17">
      <c r="A18" s="2">
        <v>17</v>
      </c>
      <c r="B18" s="4">
        <f>DAY(G18)</f>
        <v>22</v>
      </c>
      <c r="C18">
        <f>MONTH(G18)</f>
        <v>4</v>
      </c>
      <c r="D18">
        <f>YEAR(G18)</f>
        <v>2023</v>
      </c>
      <c r="E18" t="str">
        <f>TEXT(G18,"DDDD")</f>
        <v>Saturday</v>
      </c>
      <c r="F18" t="str">
        <f>TEXT(G18,"MMMM")</f>
        <v>April</v>
      </c>
      <c r="G18" s="3">
        <v>45038</v>
      </c>
      <c r="H18" s="4" t="s">
        <v>50</v>
      </c>
      <c r="I18" s="4" t="s">
        <v>3</v>
      </c>
      <c r="J18" s="4" t="str">
        <f>IF(K18&lt;30, "Young Adult","Adult")</f>
        <v>Young Adult</v>
      </c>
      <c r="K18" s="4">
        <v>27</v>
      </c>
      <c r="L18" s="4" t="s">
        <v>7</v>
      </c>
      <c r="M18" s="4">
        <v>4</v>
      </c>
      <c r="N18" s="5">
        <v>25</v>
      </c>
      <c r="O18">
        <f>(M18*N18)</f>
        <v>100</v>
      </c>
      <c r="P18">
        <f>O18*$S$3</f>
        <v>1.5</v>
      </c>
      <c r="Q18">
        <f>O18*$S$4</f>
        <v>2</v>
      </c>
    </row>
    <row r="19" spans="1:17">
      <c r="A19" s="2">
        <v>18</v>
      </c>
      <c r="B19" s="4">
        <f>DAY(G19)</f>
        <v>30</v>
      </c>
      <c r="C19">
        <f>MONTH(G19)</f>
        <v>4</v>
      </c>
      <c r="D19">
        <f>YEAR(G19)</f>
        <v>2023</v>
      </c>
      <c r="E19" t="str">
        <f>TEXT(G19,"DDDD")</f>
        <v>Sunday</v>
      </c>
      <c r="F19" t="str">
        <f>TEXT(G19,"MMMM")</f>
        <v>April</v>
      </c>
      <c r="G19" s="3">
        <v>45046</v>
      </c>
      <c r="H19" s="4" t="s">
        <v>51</v>
      </c>
      <c r="I19" s="4" t="s">
        <v>3</v>
      </c>
      <c r="J19" s="4" t="str">
        <f>IF(K19&lt;30, "Young Adult","Adult")</f>
        <v>Adult</v>
      </c>
      <c r="K19" s="4">
        <v>47</v>
      </c>
      <c r="L19" s="4" t="s">
        <v>8</v>
      </c>
      <c r="M19" s="4">
        <v>2</v>
      </c>
      <c r="N19" s="5">
        <v>25</v>
      </c>
      <c r="O19">
        <f>(M19*N19)</f>
        <v>50</v>
      </c>
      <c r="P19">
        <f>O19*$S$3</f>
        <v>0.75</v>
      </c>
      <c r="Q19">
        <f>O19*$S$4</f>
        <v>1</v>
      </c>
    </row>
    <row r="20" spans="1:17">
      <c r="A20" s="2">
        <v>19</v>
      </c>
      <c r="B20" s="4">
        <f>DAY(G20)</f>
        <v>16</v>
      </c>
      <c r="C20">
        <f>MONTH(G20)</f>
        <v>9</v>
      </c>
      <c r="D20">
        <f>YEAR(G20)</f>
        <v>2023</v>
      </c>
      <c r="E20" t="str">
        <f>TEXT(G20,"DDDD")</f>
        <v>Saturday</v>
      </c>
      <c r="F20" t="str">
        <f>TEXT(G20,"MMMM")</f>
        <v>September</v>
      </c>
      <c r="G20" s="3">
        <v>45185</v>
      </c>
      <c r="H20" s="4" t="s">
        <v>52</v>
      </c>
      <c r="I20" s="4" t="s">
        <v>3</v>
      </c>
      <c r="J20" s="4" t="str" cm="1">
        <f t="array" ref="J20">_xlfn.IFS(K2&gt;=30,"Senior",K2&gt;=30,"Adult",K2&lt;30,"Young Adult")</f>
        <v>Senior</v>
      </c>
      <c r="K20" s="4">
        <v>62</v>
      </c>
      <c r="L20" s="4" t="s">
        <v>7</v>
      </c>
      <c r="M20" s="4">
        <v>2</v>
      </c>
      <c r="N20" s="5">
        <v>25</v>
      </c>
      <c r="O20">
        <f>(M20*N20)</f>
        <v>50</v>
      </c>
      <c r="P20">
        <f>O20*$S$3</f>
        <v>0.75</v>
      </c>
      <c r="Q20">
        <f>O20*$S$4</f>
        <v>1</v>
      </c>
    </row>
    <row r="21" spans="1:17">
      <c r="A21" s="2">
        <v>20</v>
      </c>
      <c r="B21" s="4">
        <f>DAY(G21)</f>
        <v>5</v>
      </c>
      <c r="C21">
        <f>MONTH(G21)</f>
        <v>11</v>
      </c>
      <c r="D21">
        <f>YEAR(G21)</f>
        <v>2023</v>
      </c>
      <c r="E21" t="str">
        <f>TEXT(G21,"DDDD")</f>
        <v>Sunday</v>
      </c>
      <c r="F21" t="str">
        <f>TEXT(G21,"MMMM")</f>
        <v>November</v>
      </c>
      <c r="G21" s="3">
        <v>45235</v>
      </c>
      <c r="H21" s="4" t="s">
        <v>53</v>
      </c>
      <c r="I21" s="4" t="s">
        <v>4</v>
      </c>
      <c r="J21" s="4" t="str">
        <f>IF(K21&lt;30, "Young Adult","Adult")</f>
        <v>Young Adult</v>
      </c>
      <c r="K21" s="4">
        <v>22</v>
      </c>
      <c r="L21" s="4" t="s">
        <v>7</v>
      </c>
      <c r="M21" s="4">
        <v>3</v>
      </c>
      <c r="N21" s="5">
        <v>300</v>
      </c>
      <c r="O21">
        <f>(M21*N21)</f>
        <v>900</v>
      </c>
      <c r="P21">
        <f>O21*$S$3</f>
        <v>13.5</v>
      </c>
      <c r="Q21">
        <f>O21*$S$4</f>
        <v>18</v>
      </c>
    </row>
    <row r="22" spans="1:17">
      <c r="A22" s="2">
        <v>21</v>
      </c>
      <c r="B22" s="4">
        <f>DAY(G22)</f>
        <v>14</v>
      </c>
      <c r="C22">
        <f>MONTH(G22)</f>
        <v>1</v>
      </c>
      <c r="D22">
        <f>YEAR(G22)</f>
        <v>2023</v>
      </c>
      <c r="E22" t="str">
        <f>TEXT(G22,"DDDD")</f>
        <v>Saturday</v>
      </c>
      <c r="F22" t="str">
        <f>TEXT(G22,"MMMM")</f>
        <v>January</v>
      </c>
      <c r="G22" s="3">
        <v>44940</v>
      </c>
      <c r="H22" s="4" t="s">
        <v>54</v>
      </c>
      <c r="I22" s="4" t="s">
        <v>3</v>
      </c>
      <c r="J22" s="4" t="str" cm="1">
        <f t="array" ref="J22">_xlfn.IFS(K2&gt;=30,"Senior",K2&gt;=30,"Adult",K2&lt;30,"Young Adult")</f>
        <v>Senior</v>
      </c>
      <c r="K22" s="4">
        <v>50</v>
      </c>
      <c r="L22" s="4" t="s">
        <v>6</v>
      </c>
      <c r="M22" s="4">
        <v>1</v>
      </c>
      <c r="N22" s="5">
        <v>500</v>
      </c>
      <c r="O22">
        <f>(M22*N22)</f>
        <v>500</v>
      </c>
      <c r="P22">
        <f>O22*$S$3</f>
        <v>7.5</v>
      </c>
      <c r="Q22">
        <f>O22*$S$4</f>
        <v>10</v>
      </c>
    </row>
    <row r="23" spans="1:17">
      <c r="A23" s="2">
        <v>22</v>
      </c>
      <c r="B23" s="4">
        <f>DAY(G23)</f>
        <v>15</v>
      </c>
      <c r="C23">
        <f>MONTH(G23)</f>
        <v>10</v>
      </c>
      <c r="D23">
        <f>YEAR(G23)</f>
        <v>2023</v>
      </c>
      <c r="E23" t="str">
        <f>TEXT(G23,"DDDD")</f>
        <v>Sunday</v>
      </c>
      <c r="F23" t="str">
        <f>TEXT(G23,"MMMM")</f>
        <v>October</v>
      </c>
      <c r="G23" s="3">
        <v>45214</v>
      </c>
      <c r="H23" s="4" t="s">
        <v>55</v>
      </c>
      <c r="I23" s="4" t="s">
        <v>4</v>
      </c>
      <c r="J23" s="4" t="str">
        <f>IF(K23&lt;30, "Young Adult","Adult")</f>
        <v>Young Adult</v>
      </c>
      <c r="K23" s="4">
        <v>18</v>
      </c>
      <c r="L23" s="4" t="s">
        <v>7</v>
      </c>
      <c r="M23" s="4">
        <v>2</v>
      </c>
      <c r="N23" s="5">
        <v>50</v>
      </c>
      <c r="O23">
        <f>(M23*N23)</f>
        <v>100</v>
      </c>
      <c r="P23">
        <f>O23*$S$3</f>
        <v>1.5</v>
      </c>
      <c r="Q23">
        <f>O23*$S$4</f>
        <v>2</v>
      </c>
    </row>
    <row r="24" spans="1:17">
      <c r="A24" s="2">
        <v>23</v>
      </c>
      <c r="B24" s="4">
        <f>DAY(G24)</f>
        <v>12</v>
      </c>
      <c r="C24">
        <f>MONTH(G24)</f>
        <v>4</v>
      </c>
      <c r="D24">
        <f>YEAR(G24)</f>
        <v>2023</v>
      </c>
      <c r="E24" t="str">
        <f>TEXT(G24,"DDDD")</f>
        <v>Wednesday</v>
      </c>
      <c r="F24" t="str">
        <f>TEXT(G24,"MMMM")</f>
        <v>April</v>
      </c>
      <c r="G24" s="3">
        <v>45028</v>
      </c>
      <c r="H24" s="4" t="s">
        <v>56</v>
      </c>
      <c r="I24" s="4" t="s">
        <v>3</v>
      </c>
      <c r="J24" s="4" t="str">
        <f>IF(K24&lt;30, "Young Adult","Adult")</f>
        <v>Adult</v>
      </c>
      <c r="K24" s="4">
        <v>35</v>
      </c>
      <c r="L24" s="4" t="s">
        <v>7</v>
      </c>
      <c r="M24" s="4">
        <v>4</v>
      </c>
      <c r="N24" s="5">
        <v>30</v>
      </c>
      <c r="O24">
        <f>(M24*N24)</f>
        <v>120</v>
      </c>
      <c r="P24">
        <f>O24*$S$3</f>
        <v>1.7999999999999998</v>
      </c>
      <c r="Q24">
        <f>O24*$S$4</f>
        <v>2.4</v>
      </c>
    </row>
    <row r="25" spans="1:17">
      <c r="A25" s="2">
        <v>24</v>
      </c>
      <c r="B25" s="4">
        <f>DAY(G25)</f>
        <v>29</v>
      </c>
      <c r="C25">
        <f>MONTH(G25)</f>
        <v>11</v>
      </c>
      <c r="D25">
        <f>YEAR(G25)</f>
        <v>2023</v>
      </c>
      <c r="E25" t="str">
        <f>TEXT(G25,"DDDD")</f>
        <v>Wednesday</v>
      </c>
      <c r="F25" t="str">
        <f>TEXT(G25,"MMMM")</f>
        <v>November</v>
      </c>
      <c r="G25" s="3">
        <v>45259</v>
      </c>
      <c r="H25" s="4" t="s">
        <v>57</v>
      </c>
      <c r="I25" s="4" t="s">
        <v>3</v>
      </c>
      <c r="J25" s="4" t="str">
        <f>IF(K25&lt;30, "Young Adult","Adult")</f>
        <v>Adult</v>
      </c>
      <c r="K25" s="4">
        <v>49</v>
      </c>
      <c r="L25" s="4" t="s">
        <v>7</v>
      </c>
      <c r="M25" s="4">
        <v>1</v>
      </c>
      <c r="N25" s="5">
        <v>300</v>
      </c>
      <c r="O25">
        <f>(M25*N25)</f>
        <v>300</v>
      </c>
      <c r="P25">
        <f>O25*$S$3</f>
        <v>4.5</v>
      </c>
      <c r="Q25">
        <f>O25*$S$4</f>
        <v>6</v>
      </c>
    </row>
    <row r="26" spans="1:17">
      <c r="A26" s="2">
        <v>25</v>
      </c>
      <c r="B26" s="4">
        <f>DAY(G26)</f>
        <v>26</v>
      </c>
      <c r="C26">
        <f>MONTH(G26)</f>
        <v>12</v>
      </c>
      <c r="D26">
        <f>YEAR(G26)</f>
        <v>2023</v>
      </c>
      <c r="E26" t="str">
        <f>TEXT(G26,"DDDD")</f>
        <v>Tuesday</v>
      </c>
      <c r="F26" t="str">
        <f>TEXT(G26,"MMMM")</f>
        <v>December</v>
      </c>
      <c r="G26" s="3">
        <v>45286</v>
      </c>
      <c r="H26" s="4" t="s">
        <v>58</v>
      </c>
      <c r="I26" s="4" t="s">
        <v>3</v>
      </c>
      <c r="J26" s="4" t="str" cm="1">
        <f t="array" ref="J26">_xlfn.IFS(K2&gt;=30,"Senior",K2&gt;=30,"Adult",K2&lt;30,"Young Adult")</f>
        <v>Senior</v>
      </c>
      <c r="K26" s="4">
        <v>64</v>
      </c>
      <c r="L26" s="4" t="s">
        <v>6</v>
      </c>
      <c r="M26" s="4">
        <v>1</v>
      </c>
      <c r="N26" s="5">
        <v>50</v>
      </c>
      <c r="O26">
        <f>(M26*N26)</f>
        <v>50</v>
      </c>
      <c r="P26">
        <f>O26*$S$3</f>
        <v>0.75</v>
      </c>
      <c r="Q26">
        <f>O26*$S$4</f>
        <v>1</v>
      </c>
    </row>
    <row r="27" spans="1:17">
      <c r="A27" s="2">
        <v>26</v>
      </c>
      <c r="B27" s="4">
        <f>DAY(G27)</f>
        <v>7</v>
      </c>
      <c r="C27">
        <f>MONTH(G27)</f>
        <v>10</v>
      </c>
      <c r="D27">
        <f>YEAR(G27)</f>
        <v>2023</v>
      </c>
      <c r="E27" t="str">
        <f>TEXT(G27,"DDDD")</f>
        <v>Saturday</v>
      </c>
      <c r="F27" t="str">
        <f>TEXT(G27,"MMMM")</f>
        <v>October</v>
      </c>
      <c r="G27" s="3">
        <v>45206</v>
      </c>
      <c r="H27" s="4" t="s">
        <v>59</v>
      </c>
      <c r="I27" s="4" t="s">
        <v>3</v>
      </c>
      <c r="J27" s="4" t="str">
        <f>IF(K27&lt;30, "Young Adult","Adult")</f>
        <v>Young Adult</v>
      </c>
      <c r="K27" s="4">
        <v>28</v>
      </c>
      <c r="L27" s="4" t="s">
        <v>8</v>
      </c>
      <c r="M27" s="4">
        <v>2</v>
      </c>
      <c r="N27" s="5">
        <v>500</v>
      </c>
      <c r="O27">
        <f>(M27*N27)</f>
        <v>1000</v>
      </c>
      <c r="P27">
        <f>O27*$S$3</f>
        <v>15</v>
      </c>
      <c r="Q27">
        <f>O27*$S$4</f>
        <v>20</v>
      </c>
    </row>
    <row r="28" spans="1:17">
      <c r="A28" s="2">
        <v>27</v>
      </c>
      <c r="B28" s="4">
        <f>DAY(G28)</f>
        <v>3</v>
      </c>
      <c r="C28">
        <f>MONTH(G28)</f>
        <v>8</v>
      </c>
      <c r="D28">
        <f>YEAR(G28)</f>
        <v>2023</v>
      </c>
      <c r="E28" t="str">
        <f>TEXT(G28,"DDDD")</f>
        <v>Thursday</v>
      </c>
      <c r="F28" t="str">
        <f>TEXT(G28,"MMMM")</f>
        <v>August</v>
      </c>
      <c r="G28" s="3">
        <v>45141</v>
      </c>
      <c r="H28" s="4" t="s">
        <v>60</v>
      </c>
      <c r="I28" s="4" t="s">
        <v>3</v>
      </c>
      <c r="J28" s="4" t="str">
        <f>IF(K28&lt;30, "Young Adult","Adult")</f>
        <v>Adult</v>
      </c>
      <c r="K28" s="4">
        <v>38</v>
      </c>
      <c r="L28" s="4" t="s">
        <v>6</v>
      </c>
      <c r="M28" s="4">
        <v>2</v>
      </c>
      <c r="N28" s="5">
        <v>25</v>
      </c>
      <c r="O28">
        <f>(M28*N28)</f>
        <v>50</v>
      </c>
      <c r="P28">
        <f>O28*$S$3</f>
        <v>0.75</v>
      </c>
      <c r="Q28">
        <f>O28*$S$4</f>
        <v>1</v>
      </c>
    </row>
    <row r="29" spans="1:17">
      <c r="A29" s="2">
        <v>28</v>
      </c>
      <c r="B29" s="4">
        <f>DAY(G29)</f>
        <v>23</v>
      </c>
      <c r="C29">
        <f>MONTH(G29)</f>
        <v>4</v>
      </c>
      <c r="D29">
        <f>YEAR(G29)</f>
        <v>2023</v>
      </c>
      <c r="E29" t="str">
        <f>TEXT(G29,"DDDD")</f>
        <v>Sunday</v>
      </c>
      <c r="F29" t="str">
        <f>TEXT(G29,"MMMM")</f>
        <v>April</v>
      </c>
      <c r="G29" s="3">
        <v>45039</v>
      </c>
      <c r="H29" s="4" t="s">
        <v>61</v>
      </c>
      <c r="I29" s="4" t="s">
        <v>3</v>
      </c>
      <c r="J29" s="4" t="str">
        <f>IF(K29&lt;30, "Young Adult","Adult")</f>
        <v>Adult</v>
      </c>
      <c r="K29" s="4">
        <v>43</v>
      </c>
      <c r="L29" s="4" t="s">
        <v>6</v>
      </c>
      <c r="M29" s="4">
        <v>1</v>
      </c>
      <c r="N29" s="5">
        <v>500</v>
      </c>
      <c r="O29">
        <f>(M29*N29)</f>
        <v>500</v>
      </c>
      <c r="P29">
        <f>O29*$S$3</f>
        <v>7.5</v>
      </c>
      <c r="Q29">
        <f>O29*$S$4</f>
        <v>10</v>
      </c>
    </row>
    <row r="30" spans="1:17">
      <c r="A30" s="2">
        <v>29</v>
      </c>
      <c r="B30" s="4">
        <f>DAY(G30)</f>
        <v>18</v>
      </c>
      <c r="C30">
        <f>MONTH(G30)</f>
        <v>8</v>
      </c>
      <c r="D30">
        <f>YEAR(G30)</f>
        <v>2023</v>
      </c>
      <c r="E30" t="str">
        <f>TEXT(G30,"DDDD")</f>
        <v>Friday</v>
      </c>
      <c r="F30" t="str">
        <f>TEXT(G30,"MMMM")</f>
        <v>August</v>
      </c>
      <c r="G30" s="3">
        <v>45156</v>
      </c>
      <c r="H30" s="4" t="s">
        <v>62</v>
      </c>
      <c r="I30" s="4" t="s">
        <v>3</v>
      </c>
      <c r="J30" s="4" t="str">
        <f>IF(K30&lt;30, "Young Adult","Adult")</f>
        <v>Adult</v>
      </c>
      <c r="K30" s="4">
        <v>42</v>
      </c>
      <c r="L30" s="4" t="s">
        <v>8</v>
      </c>
      <c r="M30" s="4">
        <v>1</v>
      </c>
      <c r="N30" s="5">
        <v>30</v>
      </c>
      <c r="O30">
        <f>(M30*N30)</f>
        <v>30</v>
      </c>
      <c r="P30">
        <f>O30*$S$3</f>
        <v>0.44999999999999996</v>
      </c>
      <c r="Q30">
        <f>O30*$S$4</f>
        <v>0.6</v>
      </c>
    </row>
    <row r="31" spans="1:17">
      <c r="A31" s="2">
        <v>30</v>
      </c>
      <c r="B31" s="4">
        <f>DAY(G31)</f>
        <v>29</v>
      </c>
      <c r="C31">
        <f>MONTH(G31)</f>
        <v>10</v>
      </c>
      <c r="D31">
        <f>YEAR(G31)</f>
        <v>2023</v>
      </c>
      <c r="E31" t="str">
        <f>TEXT(G31,"DDDD")</f>
        <v>Sunday</v>
      </c>
      <c r="F31" t="str">
        <f>TEXT(G31,"MMMM")</f>
        <v>October</v>
      </c>
      <c r="G31" s="3">
        <v>45228</v>
      </c>
      <c r="H31" s="4" t="s">
        <v>63</v>
      </c>
      <c r="I31" s="4" t="s">
        <v>3</v>
      </c>
      <c r="J31" s="4" t="str">
        <f>IF(K31&lt;30, "Young Adult","Adult")</f>
        <v>Adult</v>
      </c>
      <c r="K31" s="4">
        <v>39</v>
      </c>
      <c r="L31" s="4" t="s">
        <v>6</v>
      </c>
      <c r="M31" s="4">
        <v>3</v>
      </c>
      <c r="N31" s="5">
        <v>300</v>
      </c>
      <c r="O31">
        <f>(M31*N31)</f>
        <v>900</v>
      </c>
      <c r="P31">
        <f>O31*$S$3</f>
        <v>13.5</v>
      </c>
      <c r="Q31">
        <f>O31*$S$4</f>
        <v>18</v>
      </c>
    </row>
    <row r="32" spans="1:17">
      <c r="A32" s="2">
        <v>31</v>
      </c>
      <c r="B32" s="4">
        <f>DAY(G32)</f>
        <v>23</v>
      </c>
      <c r="C32">
        <f>MONTH(G32)</f>
        <v>5</v>
      </c>
      <c r="D32">
        <f>YEAR(G32)</f>
        <v>2023</v>
      </c>
      <c r="E32" t="str">
        <f>TEXT(G32,"DDDD")</f>
        <v>Tuesday</v>
      </c>
      <c r="F32" t="str">
        <f>TEXT(G32,"MMMM")</f>
        <v>May</v>
      </c>
      <c r="G32" s="3">
        <v>45069</v>
      </c>
      <c r="H32" s="4" t="s">
        <v>64</v>
      </c>
      <c r="I32" s="4" t="s">
        <v>4</v>
      </c>
      <c r="J32" s="4" t="str">
        <f>IF(K32&lt;30, "Young Adult","Adult")</f>
        <v>Adult</v>
      </c>
      <c r="K32" s="4">
        <v>44</v>
      </c>
      <c r="L32" s="4" t="s">
        <v>8</v>
      </c>
      <c r="M32" s="4">
        <v>4</v>
      </c>
      <c r="N32" s="5">
        <v>300</v>
      </c>
      <c r="O32">
        <f>(M32*N32)</f>
        <v>1200</v>
      </c>
      <c r="P32">
        <f>O32*$S$3</f>
        <v>18</v>
      </c>
      <c r="Q32">
        <f>O32*$S$4</f>
        <v>24</v>
      </c>
    </row>
    <row r="33" spans="1:17">
      <c r="A33" s="2">
        <v>32</v>
      </c>
      <c r="B33" s="4">
        <f>DAY(G33)</f>
        <v>4</v>
      </c>
      <c r="C33">
        <f>MONTH(G33)</f>
        <v>1</v>
      </c>
      <c r="D33">
        <f>YEAR(G33)</f>
        <v>2023</v>
      </c>
      <c r="E33" t="str">
        <f>TEXT(G33,"DDDD")</f>
        <v>Wednesday</v>
      </c>
      <c r="F33" t="str">
        <f>TEXT(G33,"MMMM")</f>
        <v>January</v>
      </c>
      <c r="G33" s="3">
        <v>44930</v>
      </c>
      <c r="H33" s="4" t="s">
        <v>65</v>
      </c>
      <c r="I33" s="4" t="s">
        <v>4</v>
      </c>
      <c r="J33" s="4" t="str">
        <f>IF(K33&lt;30, "Young Adult","Adult")</f>
        <v>Adult</v>
      </c>
      <c r="K33" s="4">
        <v>30</v>
      </c>
      <c r="L33" s="4" t="s">
        <v>6</v>
      </c>
      <c r="M33" s="4">
        <v>3</v>
      </c>
      <c r="N33" s="5">
        <v>30</v>
      </c>
      <c r="O33">
        <f>(M33*N33)</f>
        <v>90</v>
      </c>
      <c r="P33">
        <f>O33*$S$3</f>
        <v>1.3499999999999999</v>
      </c>
      <c r="Q33">
        <f>O33*$S$4</f>
        <v>1.8</v>
      </c>
    </row>
    <row r="34" spans="1:17">
      <c r="A34" s="2">
        <v>33</v>
      </c>
      <c r="B34" s="4">
        <f>DAY(G34)</f>
        <v>23</v>
      </c>
      <c r="C34">
        <f>MONTH(G34)</f>
        <v>3</v>
      </c>
      <c r="D34">
        <f>YEAR(G34)</f>
        <v>2023</v>
      </c>
      <c r="E34" t="str">
        <f>TEXT(G34,"DDDD")</f>
        <v>Thursday</v>
      </c>
      <c r="F34" t="str">
        <f>TEXT(G34,"MMMM")</f>
        <v>March</v>
      </c>
      <c r="G34" s="3">
        <v>45008</v>
      </c>
      <c r="H34" s="4" t="s">
        <v>66</v>
      </c>
      <c r="I34" s="4" t="s">
        <v>3</v>
      </c>
      <c r="J34" s="4" t="str" cm="1">
        <f t="array" ref="J34">_xlfn.IFS(K2&gt;=30,"Senior",K2&gt;=30,"Adult",K2&lt;30,"Young Adult")</f>
        <v>Senior</v>
      </c>
      <c r="K34" s="4">
        <v>50</v>
      </c>
      <c r="L34" s="4" t="s">
        <v>8</v>
      </c>
      <c r="M34" s="4">
        <v>2</v>
      </c>
      <c r="N34" s="5">
        <v>50</v>
      </c>
      <c r="O34">
        <f>(M34*N34)</f>
        <v>100</v>
      </c>
      <c r="P34">
        <f>O34*$S$3</f>
        <v>1.5</v>
      </c>
      <c r="Q34">
        <f>O34*$S$4</f>
        <v>2</v>
      </c>
    </row>
    <row r="35" spans="1:17">
      <c r="A35" s="2">
        <v>34</v>
      </c>
      <c r="B35" s="4">
        <f>DAY(G35)</f>
        <v>24</v>
      </c>
      <c r="C35">
        <f>MONTH(G35)</f>
        <v>12</v>
      </c>
      <c r="D35">
        <f>YEAR(G35)</f>
        <v>2023</v>
      </c>
      <c r="E35" t="str">
        <f>TEXT(G35,"DDDD")</f>
        <v>Sunday</v>
      </c>
      <c r="F35" t="str">
        <f>TEXT(G35,"MMMM")</f>
        <v>December</v>
      </c>
      <c r="G35" s="3">
        <v>45284</v>
      </c>
      <c r="H35" s="4" t="s">
        <v>67</v>
      </c>
      <c r="I35" s="4" t="s">
        <v>3</v>
      </c>
      <c r="J35" s="4" t="str" cm="1">
        <f t="array" ref="J35">_xlfn.IFS(K2&gt;=30,"Senior",K2&gt;=30,"Adult",K2&lt;30,"Young Adult")</f>
        <v>Senior</v>
      </c>
      <c r="K35" s="4">
        <v>51</v>
      </c>
      <c r="L35" s="4" t="s">
        <v>7</v>
      </c>
      <c r="M35" s="4">
        <v>3</v>
      </c>
      <c r="N35" s="5">
        <v>50</v>
      </c>
      <c r="O35">
        <f>(M35*N35)</f>
        <v>150</v>
      </c>
      <c r="P35">
        <f>O35*$S$3</f>
        <v>2.25</v>
      </c>
      <c r="Q35">
        <f>O35*$S$4</f>
        <v>3</v>
      </c>
    </row>
    <row r="36" spans="1:17">
      <c r="A36" s="2">
        <v>35</v>
      </c>
      <c r="B36" s="4">
        <f>DAY(G36)</f>
        <v>5</v>
      </c>
      <c r="C36">
        <f>MONTH(G36)</f>
        <v>8</v>
      </c>
      <c r="D36">
        <f>YEAR(G36)</f>
        <v>2023</v>
      </c>
      <c r="E36" t="str">
        <f>TEXT(G36,"DDDD")</f>
        <v>Saturday</v>
      </c>
      <c r="F36" t="str">
        <f>TEXT(G36,"MMMM")</f>
        <v>August</v>
      </c>
      <c r="G36" s="3">
        <v>45143</v>
      </c>
      <c r="H36" s="4" t="s">
        <v>68</v>
      </c>
      <c r="I36" s="4" t="s">
        <v>3</v>
      </c>
      <c r="J36" s="4" t="str" cm="1">
        <f t="array" ref="J36">_xlfn.IFS(K2&gt;=30,"Senior",K2&gt;=30,"Adult",K2&lt;30,"Young Adult")</f>
        <v>Senior</v>
      </c>
      <c r="K36" s="4">
        <v>58</v>
      </c>
      <c r="L36" s="4" t="s">
        <v>6</v>
      </c>
      <c r="M36" s="4">
        <v>3</v>
      </c>
      <c r="N36" s="5">
        <v>300</v>
      </c>
      <c r="O36">
        <f>(M36*N36)</f>
        <v>900</v>
      </c>
      <c r="P36">
        <f>O36*$S$3</f>
        <v>13.5</v>
      </c>
      <c r="Q36">
        <f>O36*$S$4</f>
        <v>18</v>
      </c>
    </row>
    <row r="37" spans="1:17">
      <c r="A37" s="2">
        <v>36</v>
      </c>
      <c r="B37" s="4">
        <f>DAY(G37)</f>
        <v>24</v>
      </c>
      <c r="C37">
        <f>MONTH(G37)</f>
        <v>6</v>
      </c>
      <c r="D37">
        <f>YEAR(G37)</f>
        <v>2023</v>
      </c>
      <c r="E37" t="str">
        <f>TEXT(G37,"DDDD")</f>
        <v>Saturday</v>
      </c>
      <c r="F37" t="str">
        <f>TEXT(G37,"MMMM")</f>
        <v>June</v>
      </c>
      <c r="G37" s="3">
        <v>45101</v>
      </c>
      <c r="H37" s="4" t="s">
        <v>69</v>
      </c>
      <c r="I37" s="4" t="s">
        <v>4</v>
      </c>
      <c r="J37" s="4" t="str" cm="1">
        <f t="array" ref="J37">_xlfn.IFS(K2&gt;=30,"Senior",K2&gt;=30,"Adult",K2&lt;30,"Young Adult")</f>
        <v>Senior</v>
      </c>
      <c r="K37" s="4">
        <v>52</v>
      </c>
      <c r="L37" s="4" t="s">
        <v>6</v>
      </c>
      <c r="M37" s="4">
        <v>3</v>
      </c>
      <c r="N37" s="5">
        <v>300</v>
      </c>
      <c r="O37">
        <f>(M37*N37)</f>
        <v>900</v>
      </c>
      <c r="P37">
        <f>O37*$S$3</f>
        <v>13.5</v>
      </c>
      <c r="Q37">
        <f>O37*$S$4</f>
        <v>18</v>
      </c>
    </row>
    <row r="38" spans="1:17">
      <c r="A38" s="2">
        <v>37</v>
      </c>
      <c r="B38" s="4">
        <f>DAY(G38)</f>
        <v>23</v>
      </c>
      <c r="C38">
        <f>MONTH(G38)</f>
        <v>5</v>
      </c>
      <c r="D38">
        <f>YEAR(G38)</f>
        <v>2023</v>
      </c>
      <c r="E38" t="str">
        <f>TEXT(G38,"DDDD")</f>
        <v>Tuesday</v>
      </c>
      <c r="F38" t="str">
        <f>TEXT(G38,"MMMM")</f>
        <v>May</v>
      </c>
      <c r="G38" s="3">
        <v>45069</v>
      </c>
      <c r="H38" s="4" t="s">
        <v>70</v>
      </c>
      <c r="I38" s="4" t="s">
        <v>3</v>
      </c>
      <c r="J38" s="4" t="str">
        <f>IF(K38&lt;30, "Young Adult","Adult")</f>
        <v>Young Adult</v>
      </c>
      <c r="K38" s="4">
        <v>18</v>
      </c>
      <c r="L38" s="4" t="s">
        <v>6</v>
      </c>
      <c r="M38" s="4">
        <v>3</v>
      </c>
      <c r="N38" s="5">
        <v>25</v>
      </c>
      <c r="O38">
        <f>(M38*N38)</f>
        <v>75</v>
      </c>
      <c r="P38">
        <f>O38*$S$3</f>
        <v>1.125</v>
      </c>
      <c r="Q38">
        <f>O38*$S$4</f>
        <v>1.5</v>
      </c>
    </row>
    <row r="39" spans="1:17">
      <c r="A39" s="2">
        <v>38</v>
      </c>
      <c r="B39" s="4">
        <f>DAY(G39)</f>
        <v>21</v>
      </c>
      <c r="C39">
        <f>MONTH(G39)</f>
        <v>3</v>
      </c>
      <c r="D39">
        <f>YEAR(G39)</f>
        <v>2023</v>
      </c>
      <c r="E39" t="str">
        <f>TEXT(G39,"DDDD")</f>
        <v>Tuesday</v>
      </c>
      <c r="F39" t="str">
        <f>TEXT(G39,"MMMM")</f>
        <v>March</v>
      </c>
      <c r="G39" s="3">
        <v>45006</v>
      </c>
      <c r="H39" s="4" t="s">
        <v>71</v>
      </c>
      <c r="I39" s="4" t="s">
        <v>4</v>
      </c>
      <c r="J39" s="4" t="str">
        <f>IF(K39&lt;30, "Young Adult","Adult")</f>
        <v>Adult</v>
      </c>
      <c r="K39" s="4">
        <v>38</v>
      </c>
      <c r="L39" s="4" t="s">
        <v>6</v>
      </c>
      <c r="M39" s="4">
        <v>4</v>
      </c>
      <c r="N39" s="5">
        <v>50</v>
      </c>
      <c r="O39">
        <f>(M39*N39)</f>
        <v>200</v>
      </c>
      <c r="P39">
        <f>O39*$S$3</f>
        <v>3</v>
      </c>
      <c r="Q39">
        <f>O39*$S$4</f>
        <v>4</v>
      </c>
    </row>
    <row r="40" spans="1:17">
      <c r="A40" s="2">
        <v>39</v>
      </c>
      <c r="B40" s="4">
        <f>DAY(G40)</f>
        <v>21</v>
      </c>
      <c r="C40">
        <f>MONTH(G40)</f>
        <v>4</v>
      </c>
      <c r="D40">
        <f>YEAR(G40)</f>
        <v>2023</v>
      </c>
      <c r="E40" t="str">
        <f>TEXT(G40,"DDDD")</f>
        <v>Friday</v>
      </c>
      <c r="F40" t="str">
        <f>TEXT(G40,"MMMM")</f>
        <v>April</v>
      </c>
      <c r="G40" s="3">
        <v>45037</v>
      </c>
      <c r="H40" s="4" t="s">
        <v>72</v>
      </c>
      <c r="I40" s="4" t="s">
        <v>4</v>
      </c>
      <c r="J40" s="4" t="str">
        <f>IF(K40&lt;30, "Young Adult","Adult")</f>
        <v>Young Adult</v>
      </c>
      <c r="K40" s="4">
        <v>23</v>
      </c>
      <c r="L40" s="4" t="s">
        <v>7</v>
      </c>
      <c r="M40" s="4">
        <v>4</v>
      </c>
      <c r="N40" s="5">
        <v>30</v>
      </c>
      <c r="O40">
        <f>(M40*N40)</f>
        <v>120</v>
      </c>
      <c r="P40">
        <f>O40*$S$3</f>
        <v>1.7999999999999998</v>
      </c>
      <c r="Q40">
        <f>O40*$S$4</f>
        <v>2.4</v>
      </c>
    </row>
    <row r="41" spans="1:17">
      <c r="A41" s="2">
        <v>40</v>
      </c>
      <c r="B41" s="4">
        <f>DAY(G41)</f>
        <v>22</v>
      </c>
      <c r="C41">
        <f>MONTH(G41)</f>
        <v>6</v>
      </c>
      <c r="D41">
        <f>YEAR(G41)</f>
        <v>2023</v>
      </c>
      <c r="E41" t="str">
        <f>TEXT(G41,"DDDD")</f>
        <v>Thursday</v>
      </c>
      <c r="F41" t="str">
        <f>TEXT(G41,"MMMM")</f>
        <v>June</v>
      </c>
      <c r="G41" s="3">
        <v>45099</v>
      </c>
      <c r="H41" s="4" t="s">
        <v>73</v>
      </c>
      <c r="I41" s="4" t="s">
        <v>4</v>
      </c>
      <c r="J41" s="4" t="str">
        <f>IF(K41&lt;30, "Young Adult","Adult")</f>
        <v>Adult</v>
      </c>
      <c r="K41" s="4">
        <v>45</v>
      </c>
      <c r="L41" s="4" t="s">
        <v>6</v>
      </c>
      <c r="M41" s="4">
        <v>1</v>
      </c>
      <c r="N41" s="5">
        <v>50</v>
      </c>
      <c r="O41">
        <f>(M41*N41)</f>
        <v>50</v>
      </c>
      <c r="P41">
        <f>O41*$S$3</f>
        <v>0.75</v>
      </c>
      <c r="Q41">
        <f>O41*$S$4</f>
        <v>1</v>
      </c>
    </row>
    <row r="42" spans="1:17">
      <c r="A42" s="2">
        <v>41</v>
      </c>
      <c r="B42" s="4">
        <f>DAY(G42)</f>
        <v>22</v>
      </c>
      <c r="C42">
        <f>MONTH(G42)</f>
        <v>2</v>
      </c>
      <c r="D42">
        <f>YEAR(G42)</f>
        <v>2023</v>
      </c>
      <c r="E42" t="str">
        <f>TEXT(G42,"DDDD")</f>
        <v>Wednesday</v>
      </c>
      <c r="F42" t="str">
        <f>TEXT(G42,"MMMM")</f>
        <v>February</v>
      </c>
      <c r="G42" s="3">
        <v>44979</v>
      </c>
      <c r="H42" s="4" t="s">
        <v>74</v>
      </c>
      <c r="I42" s="4" t="s">
        <v>4</v>
      </c>
      <c r="J42" s="4" t="str">
        <f>IF(K42&lt;30, "Young Adult","Adult")</f>
        <v>Adult</v>
      </c>
      <c r="K42" s="4">
        <v>34</v>
      </c>
      <c r="L42" s="4" t="s">
        <v>7</v>
      </c>
      <c r="M42" s="4">
        <v>2</v>
      </c>
      <c r="N42" s="5">
        <v>25</v>
      </c>
      <c r="O42">
        <f>(M42*N42)</f>
        <v>50</v>
      </c>
      <c r="P42">
        <f>O42*$S$3</f>
        <v>0.75</v>
      </c>
      <c r="Q42">
        <f>O42*$S$4</f>
        <v>1</v>
      </c>
    </row>
    <row r="43" spans="1:17">
      <c r="A43" s="2">
        <v>42</v>
      </c>
      <c r="B43" s="4">
        <f>DAY(G43)</f>
        <v>17</v>
      </c>
      <c r="C43">
        <f>MONTH(G43)</f>
        <v>2</v>
      </c>
      <c r="D43">
        <f>YEAR(G43)</f>
        <v>2023</v>
      </c>
      <c r="E43" t="str">
        <f>TEXT(G43,"DDDD")</f>
        <v>Friday</v>
      </c>
      <c r="F43" t="str">
        <f>TEXT(G43,"MMMM")</f>
        <v>February</v>
      </c>
      <c r="G43" s="3">
        <v>44974</v>
      </c>
      <c r="H43" s="4" t="s">
        <v>75</v>
      </c>
      <c r="I43" s="4" t="s">
        <v>4</v>
      </c>
      <c r="J43" s="4" t="str">
        <f>IF(K43&lt;30, "Young Adult","Adult")</f>
        <v>Young Adult</v>
      </c>
      <c r="K43" s="4">
        <v>22</v>
      </c>
      <c r="L43" s="4" t="s">
        <v>7</v>
      </c>
      <c r="M43" s="4">
        <v>3</v>
      </c>
      <c r="N43" s="5">
        <v>300</v>
      </c>
      <c r="O43">
        <f>(M43*N43)</f>
        <v>900</v>
      </c>
      <c r="P43">
        <f>O43*$S$3</f>
        <v>13.5</v>
      </c>
      <c r="Q43">
        <f>O43*$S$4</f>
        <v>18</v>
      </c>
    </row>
    <row r="44" spans="1:17">
      <c r="A44" s="2">
        <v>43</v>
      </c>
      <c r="B44" s="4">
        <f>DAY(G44)</f>
        <v>14</v>
      </c>
      <c r="C44">
        <f>MONTH(G44)</f>
        <v>7</v>
      </c>
      <c r="D44">
        <f>YEAR(G44)</f>
        <v>2023</v>
      </c>
      <c r="E44" t="str">
        <f>TEXT(G44,"DDDD")</f>
        <v>Friday</v>
      </c>
      <c r="F44" t="str">
        <f>TEXT(G44,"MMMM")</f>
        <v>July</v>
      </c>
      <c r="G44" s="3">
        <v>45121</v>
      </c>
      <c r="H44" s="4" t="s">
        <v>76</v>
      </c>
      <c r="I44" s="4" t="s">
        <v>3</v>
      </c>
      <c r="J44" s="4" t="str">
        <f>IF(K44&lt;30, "Young Adult","Adult")</f>
        <v>Adult</v>
      </c>
      <c r="K44" s="4">
        <v>48</v>
      </c>
      <c r="L44" s="4" t="s">
        <v>7</v>
      </c>
      <c r="M44" s="4">
        <v>1</v>
      </c>
      <c r="N44" s="5">
        <v>300</v>
      </c>
      <c r="O44">
        <f>(M44*N44)</f>
        <v>300</v>
      </c>
      <c r="P44">
        <f>O44*$S$3</f>
        <v>4.5</v>
      </c>
      <c r="Q44">
        <f>O44*$S$4</f>
        <v>6</v>
      </c>
    </row>
    <row r="45" spans="1:17">
      <c r="A45" s="2">
        <v>44</v>
      </c>
      <c r="B45" s="4">
        <f>DAY(G45)</f>
        <v>19</v>
      </c>
      <c r="C45">
        <f>MONTH(G45)</f>
        <v>2</v>
      </c>
      <c r="D45">
        <f>YEAR(G45)</f>
        <v>2023</v>
      </c>
      <c r="E45" t="str">
        <f>TEXT(G45,"DDDD")</f>
        <v>Sunday</v>
      </c>
      <c r="F45" t="str">
        <f>TEXT(G45,"MMMM")</f>
        <v>February</v>
      </c>
      <c r="G45" s="3">
        <v>44976</v>
      </c>
      <c r="H45" s="4" t="s">
        <v>77</v>
      </c>
      <c r="I45" s="4" t="s">
        <v>3</v>
      </c>
      <c r="J45" s="4" t="str">
        <f>IF(K45&lt;30, "Young Adult","Adult")</f>
        <v>Young Adult</v>
      </c>
      <c r="K45" s="4">
        <v>22</v>
      </c>
      <c r="L45" s="4" t="s">
        <v>7</v>
      </c>
      <c r="M45" s="4">
        <v>1</v>
      </c>
      <c r="N45" s="5">
        <v>25</v>
      </c>
      <c r="O45">
        <f>(M45*N45)</f>
        <v>25</v>
      </c>
      <c r="P45">
        <f>O45*$S$3</f>
        <v>0.375</v>
      </c>
      <c r="Q45">
        <f>O45*$S$4</f>
        <v>0.5</v>
      </c>
    </row>
    <row r="46" spans="1:17">
      <c r="A46" s="2">
        <v>45</v>
      </c>
      <c r="B46" s="4">
        <f>DAY(G46)</f>
        <v>3</v>
      </c>
      <c r="C46">
        <f>MONTH(G46)</f>
        <v>7</v>
      </c>
      <c r="D46">
        <f>YEAR(G46)</f>
        <v>2023</v>
      </c>
      <c r="E46" t="str">
        <f>TEXT(G46,"DDDD")</f>
        <v>Monday</v>
      </c>
      <c r="F46" t="str">
        <f>TEXT(G46,"MMMM")</f>
        <v>July</v>
      </c>
      <c r="G46" s="3">
        <v>45110</v>
      </c>
      <c r="H46" s="4" t="s">
        <v>78</v>
      </c>
      <c r="I46" s="4" t="s">
        <v>3</v>
      </c>
      <c r="J46" s="4" t="str" cm="1">
        <f t="array" ref="J46">_xlfn.IFS(K2&gt;=30,"Senior",K2&gt;=30,"Adult",K2&lt;30,"Young Adult")</f>
        <v>Senior</v>
      </c>
      <c r="K46" s="4">
        <v>55</v>
      </c>
      <c r="L46" s="4" t="s">
        <v>8</v>
      </c>
      <c r="M46" s="4">
        <v>1</v>
      </c>
      <c r="N46" s="5">
        <v>30</v>
      </c>
      <c r="O46">
        <f>(M46*N46)</f>
        <v>30</v>
      </c>
      <c r="P46">
        <f>O46*$S$3</f>
        <v>0.44999999999999996</v>
      </c>
      <c r="Q46">
        <f>O46*$S$4</f>
        <v>0.6</v>
      </c>
    </row>
    <row r="47" spans="1:17">
      <c r="A47" s="2">
        <v>46</v>
      </c>
      <c r="B47" s="4">
        <f>DAY(G47)</f>
        <v>26</v>
      </c>
      <c r="C47">
        <f>MONTH(G47)</f>
        <v>6</v>
      </c>
      <c r="D47">
        <f>YEAR(G47)</f>
        <v>2023</v>
      </c>
      <c r="E47" t="str">
        <f>TEXT(G47,"DDDD")</f>
        <v>Monday</v>
      </c>
      <c r="F47" t="str">
        <f>TEXT(G47,"MMMM")</f>
        <v>June</v>
      </c>
      <c r="G47" s="3">
        <v>45103</v>
      </c>
      <c r="H47" s="4" t="s">
        <v>79</v>
      </c>
      <c r="I47" s="4" t="s">
        <v>3</v>
      </c>
      <c r="J47" s="4" t="str">
        <f>IF(K47&lt;30, "Young Adult","Adult")</f>
        <v>Young Adult</v>
      </c>
      <c r="K47" s="4">
        <v>20</v>
      </c>
      <c r="L47" s="4" t="s">
        <v>8</v>
      </c>
      <c r="M47" s="4">
        <v>4</v>
      </c>
      <c r="N47" s="5">
        <v>300</v>
      </c>
      <c r="O47">
        <f>(M47*N47)</f>
        <v>1200</v>
      </c>
      <c r="P47">
        <f>O47*$S$3</f>
        <v>18</v>
      </c>
      <c r="Q47">
        <f>O47*$S$4</f>
        <v>24</v>
      </c>
    </row>
    <row r="48" spans="1:17">
      <c r="A48" s="2">
        <v>47</v>
      </c>
      <c r="B48" s="4">
        <f>DAY(G48)</f>
        <v>6</v>
      </c>
      <c r="C48">
        <f>MONTH(G48)</f>
        <v>11</v>
      </c>
      <c r="D48">
        <f>YEAR(G48)</f>
        <v>2023</v>
      </c>
      <c r="E48" t="str">
        <f>TEXT(G48,"DDDD")</f>
        <v>Monday</v>
      </c>
      <c r="F48" t="str">
        <f>TEXT(G48,"MMMM")</f>
        <v>November</v>
      </c>
      <c r="G48" s="3">
        <v>45236</v>
      </c>
      <c r="H48" s="4" t="s">
        <v>80</v>
      </c>
      <c r="I48" s="4" t="s">
        <v>3</v>
      </c>
      <c r="J48" s="4" t="str">
        <f>IF(K48&lt;30, "Young Adult","Adult")</f>
        <v>Adult</v>
      </c>
      <c r="K48" s="4">
        <v>40</v>
      </c>
      <c r="L48" s="4" t="s">
        <v>6</v>
      </c>
      <c r="M48" s="4">
        <v>3</v>
      </c>
      <c r="N48" s="5">
        <v>500</v>
      </c>
      <c r="O48">
        <f>(M48*N48)</f>
        <v>1500</v>
      </c>
      <c r="P48">
        <f>O48*$S$3</f>
        <v>22.5</v>
      </c>
      <c r="Q48">
        <f>O48*$S$4</f>
        <v>30</v>
      </c>
    </row>
    <row r="49" spans="1:17">
      <c r="A49" s="2">
        <v>48</v>
      </c>
      <c r="B49" s="4">
        <f>DAY(G49)</f>
        <v>16</v>
      </c>
      <c r="C49">
        <f>MONTH(G49)</f>
        <v>5</v>
      </c>
      <c r="D49">
        <f>YEAR(G49)</f>
        <v>2023</v>
      </c>
      <c r="E49" t="str">
        <f>TEXT(G49,"DDDD")</f>
        <v>Tuesday</v>
      </c>
      <c r="F49" t="str">
        <f>TEXT(G49,"MMMM")</f>
        <v>May</v>
      </c>
      <c r="G49" s="3">
        <v>45062</v>
      </c>
      <c r="H49" s="4" t="s">
        <v>81</v>
      </c>
      <c r="I49" s="4" t="s">
        <v>4</v>
      </c>
      <c r="J49" s="4" t="str" cm="1">
        <f t="array" ref="J49">_xlfn.IFS(K2&gt;=30,"Senior",K2&gt;=30,"Adult",K2&lt;30,"Young Adult")</f>
        <v>Senior</v>
      </c>
      <c r="K49" s="4">
        <v>54</v>
      </c>
      <c r="L49" s="4" t="s">
        <v>8</v>
      </c>
      <c r="M49" s="4">
        <v>3</v>
      </c>
      <c r="N49" s="5">
        <v>300</v>
      </c>
      <c r="O49">
        <f>(M49*N49)</f>
        <v>900</v>
      </c>
      <c r="P49">
        <f>O49*$S$3</f>
        <v>13.5</v>
      </c>
      <c r="Q49">
        <f>O49*$S$4</f>
        <v>18</v>
      </c>
    </row>
    <row r="50" spans="1:17">
      <c r="A50" s="2">
        <v>49</v>
      </c>
      <c r="B50" s="4">
        <f>DAY(G50)</f>
        <v>23</v>
      </c>
      <c r="C50">
        <f>MONTH(G50)</f>
        <v>1</v>
      </c>
      <c r="D50">
        <f>YEAR(G50)</f>
        <v>2023</v>
      </c>
      <c r="E50" t="str">
        <f>TEXT(G50,"DDDD")</f>
        <v>Monday</v>
      </c>
      <c r="F50" t="str">
        <f>TEXT(G50,"MMMM")</f>
        <v>January</v>
      </c>
      <c r="G50" s="3">
        <v>44949</v>
      </c>
      <c r="H50" s="4" t="s">
        <v>82</v>
      </c>
      <c r="I50" s="4" t="s">
        <v>3</v>
      </c>
      <c r="J50" s="4" t="str" cm="1">
        <f t="array" ref="J50">_xlfn.IFS(K2&gt;=30,"Senior",K2&gt;=30,"Adult",K2&lt;30,"Young Adult")</f>
        <v>Senior</v>
      </c>
      <c r="K50" s="4">
        <v>54</v>
      </c>
      <c r="L50" s="4" t="s">
        <v>8</v>
      </c>
      <c r="M50" s="4">
        <v>2</v>
      </c>
      <c r="N50" s="5">
        <v>500</v>
      </c>
      <c r="O50">
        <f>(M50*N50)</f>
        <v>1000</v>
      </c>
      <c r="P50">
        <f>O50*$S$3</f>
        <v>15</v>
      </c>
      <c r="Q50">
        <f>O50*$S$4</f>
        <v>20</v>
      </c>
    </row>
    <row r="51" spans="1:17">
      <c r="A51" s="2">
        <v>50</v>
      </c>
      <c r="B51" s="4">
        <f>DAY(G51)</f>
        <v>24</v>
      </c>
      <c r="C51">
        <f>MONTH(G51)</f>
        <v>8</v>
      </c>
      <c r="D51">
        <f>YEAR(G51)</f>
        <v>2023</v>
      </c>
      <c r="E51" t="str">
        <f>TEXT(G51,"DDDD")</f>
        <v>Thursday</v>
      </c>
      <c r="F51" t="str">
        <f>TEXT(G51,"MMMM")</f>
        <v>August</v>
      </c>
      <c r="G51" s="3">
        <v>45162</v>
      </c>
      <c r="H51" s="4" t="s">
        <v>83</v>
      </c>
      <c r="I51" s="4" t="s">
        <v>3</v>
      </c>
      <c r="J51" s="4" t="str">
        <f>IF(K51&lt;30, "Young Adult","Adult")</f>
        <v>Young Adult</v>
      </c>
      <c r="K51" s="4">
        <v>27</v>
      </c>
      <c r="L51" s="4" t="s">
        <v>6</v>
      </c>
      <c r="M51" s="4">
        <v>3</v>
      </c>
      <c r="N51" s="5">
        <v>25</v>
      </c>
      <c r="O51">
        <f>(M51*N51)</f>
        <v>75</v>
      </c>
      <c r="P51">
        <f>O51*$S$3</f>
        <v>1.125</v>
      </c>
      <c r="Q51">
        <f>O51*$S$4</f>
        <v>1.5</v>
      </c>
    </row>
    <row r="52" spans="1:17">
      <c r="A52" s="2">
        <v>51</v>
      </c>
      <c r="B52" s="4">
        <f>DAY(G52)</f>
        <v>2</v>
      </c>
      <c r="C52">
        <f>MONTH(G52)</f>
        <v>10</v>
      </c>
      <c r="D52">
        <f>YEAR(G52)</f>
        <v>2023</v>
      </c>
      <c r="E52" t="str">
        <f>TEXT(G52,"DDDD")</f>
        <v>Monday</v>
      </c>
      <c r="F52" t="str">
        <f>TEXT(G52,"MMMM")</f>
        <v>October</v>
      </c>
      <c r="G52" s="3">
        <v>45201</v>
      </c>
      <c r="H52" s="4" t="s">
        <v>84</v>
      </c>
      <c r="I52" s="4" t="s">
        <v>4</v>
      </c>
      <c r="J52" s="4" t="str">
        <f>IF(K52&lt;30, "Young Adult","Adult")</f>
        <v>Young Adult</v>
      </c>
      <c r="K52" s="4">
        <v>27</v>
      </c>
      <c r="L52" s="4" t="s">
        <v>6</v>
      </c>
      <c r="M52" s="4">
        <v>3</v>
      </c>
      <c r="N52" s="5">
        <v>25</v>
      </c>
      <c r="O52">
        <f>(M52*N52)</f>
        <v>75</v>
      </c>
      <c r="P52">
        <f>O52*$S$3</f>
        <v>1.125</v>
      </c>
      <c r="Q52">
        <f>O52*$S$4</f>
        <v>1.5</v>
      </c>
    </row>
    <row r="53" spans="1:17">
      <c r="A53" s="2">
        <v>52</v>
      </c>
      <c r="B53" s="4">
        <f>DAY(G53)</f>
        <v>5</v>
      </c>
      <c r="C53">
        <f>MONTH(G53)</f>
        <v>3</v>
      </c>
      <c r="D53">
        <f>YEAR(G53)</f>
        <v>2023</v>
      </c>
      <c r="E53" t="str">
        <f>TEXT(G53,"DDDD")</f>
        <v>Sunday</v>
      </c>
      <c r="F53" t="str">
        <f>TEXT(G53,"MMMM")</f>
        <v>March</v>
      </c>
      <c r="G53" s="3">
        <v>44990</v>
      </c>
      <c r="H53" s="4" t="s">
        <v>85</v>
      </c>
      <c r="I53" s="4" t="s">
        <v>3</v>
      </c>
      <c r="J53" s="4" t="str">
        <f>IF(K53&lt;30, "Young Adult","Adult")</f>
        <v>Adult</v>
      </c>
      <c r="K53" s="4">
        <v>36</v>
      </c>
      <c r="L53" s="4" t="s">
        <v>6</v>
      </c>
      <c r="M53" s="4">
        <v>1</v>
      </c>
      <c r="N53" s="5">
        <v>300</v>
      </c>
      <c r="O53">
        <f>(M53*N53)</f>
        <v>300</v>
      </c>
      <c r="P53">
        <f>O53*$S$3</f>
        <v>4.5</v>
      </c>
      <c r="Q53">
        <f>O53*$S$4</f>
        <v>6</v>
      </c>
    </row>
    <row r="54" spans="1:17">
      <c r="A54" s="2">
        <v>53</v>
      </c>
      <c r="B54" s="4">
        <f>DAY(G54)</f>
        <v>13</v>
      </c>
      <c r="C54">
        <f>MONTH(G54)</f>
        <v>7</v>
      </c>
      <c r="D54">
        <f>YEAR(G54)</f>
        <v>2023</v>
      </c>
      <c r="E54" t="str">
        <f>TEXT(G54,"DDDD")</f>
        <v>Thursday</v>
      </c>
      <c r="F54" t="str">
        <f>TEXT(G54,"MMMM")</f>
        <v>July</v>
      </c>
      <c r="G54" s="3">
        <v>45120</v>
      </c>
      <c r="H54" s="4" t="s">
        <v>86</v>
      </c>
      <c r="I54" s="4" t="s">
        <v>4</v>
      </c>
      <c r="J54" s="4" t="str">
        <f>IF(K54&lt;30, "Young Adult","Adult")</f>
        <v>Adult</v>
      </c>
      <c r="K54" s="4">
        <v>34</v>
      </c>
      <c r="L54" s="4" t="s">
        <v>8</v>
      </c>
      <c r="M54" s="4">
        <v>2</v>
      </c>
      <c r="N54" s="5">
        <v>50</v>
      </c>
      <c r="O54">
        <f>(M54*N54)</f>
        <v>100</v>
      </c>
      <c r="P54">
        <f>O54*$S$3</f>
        <v>1.5</v>
      </c>
      <c r="Q54">
        <f>O54*$S$4</f>
        <v>2</v>
      </c>
    </row>
    <row r="55" spans="1:17">
      <c r="A55" s="2">
        <v>54</v>
      </c>
      <c r="B55" s="4">
        <f>DAY(G55)</f>
        <v>10</v>
      </c>
      <c r="C55">
        <f>MONTH(G55)</f>
        <v>2</v>
      </c>
      <c r="D55">
        <f>YEAR(G55)</f>
        <v>2023</v>
      </c>
      <c r="E55" t="str">
        <f>TEXT(G55,"DDDD")</f>
        <v>Friday</v>
      </c>
      <c r="F55" t="str">
        <f>TEXT(G55,"MMMM")</f>
        <v>February</v>
      </c>
      <c r="G55" s="3">
        <v>44967</v>
      </c>
      <c r="H55" s="4" t="s">
        <v>87</v>
      </c>
      <c r="I55" s="4" t="s">
        <v>3</v>
      </c>
      <c r="J55" s="4" t="str">
        <f>IF(K55&lt;30, "Young Adult","Adult")</f>
        <v>Adult</v>
      </c>
      <c r="K55" s="4">
        <v>38</v>
      </c>
      <c r="L55" s="4" t="s">
        <v>8</v>
      </c>
      <c r="M55" s="4">
        <v>3</v>
      </c>
      <c r="N55" s="5">
        <v>500</v>
      </c>
      <c r="O55">
        <f>(M55*N55)</f>
        <v>1500</v>
      </c>
      <c r="P55">
        <f>O55*$S$3</f>
        <v>22.5</v>
      </c>
      <c r="Q55">
        <f>O55*$S$4</f>
        <v>30</v>
      </c>
    </row>
    <row r="56" spans="1:17">
      <c r="A56" s="2">
        <v>55</v>
      </c>
      <c r="B56" s="4">
        <f>DAY(G56)</f>
        <v>10</v>
      </c>
      <c r="C56">
        <f>MONTH(G56)</f>
        <v>10</v>
      </c>
      <c r="D56">
        <f>YEAR(G56)</f>
        <v>2023</v>
      </c>
      <c r="E56" t="str">
        <f>TEXT(G56,"DDDD")</f>
        <v>Tuesday</v>
      </c>
      <c r="F56" t="str">
        <f>TEXT(G56,"MMMM")</f>
        <v>October</v>
      </c>
      <c r="G56" s="3">
        <v>45209</v>
      </c>
      <c r="H56" s="4" t="s">
        <v>88</v>
      </c>
      <c r="I56" s="4" t="s">
        <v>4</v>
      </c>
      <c r="J56" s="4" t="str">
        <f>IF(K56&lt;30, "Young Adult","Adult")</f>
        <v>Adult</v>
      </c>
      <c r="K56" s="4">
        <v>31</v>
      </c>
      <c r="L56" s="4" t="s">
        <v>6</v>
      </c>
      <c r="M56" s="4">
        <v>4</v>
      </c>
      <c r="N56" s="5">
        <v>30</v>
      </c>
      <c r="O56">
        <f>(M56*N56)</f>
        <v>120</v>
      </c>
      <c r="P56">
        <f>O56*$S$3</f>
        <v>1.7999999999999998</v>
      </c>
      <c r="Q56">
        <f>O56*$S$4</f>
        <v>2.4</v>
      </c>
    </row>
    <row r="57" spans="1:17">
      <c r="A57" s="2">
        <v>56</v>
      </c>
      <c r="B57" s="4">
        <f>DAY(G57)</f>
        <v>31</v>
      </c>
      <c r="C57">
        <f>MONTH(G57)</f>
        <v>5</v>
      </c>
      <c r="D57">
        <f>YEAR(G57)</f>
        <v>2023</v>
      </c>
      <c r="E57" t="str">
        <f>TEXT(G57,"DDDD")</f>
        <v>Wednesday</v>
      </c>
      <c r="F57" t="str">
        <f>TEXT(G57,"MMMM")</f>
        <v>May</v>
      </c>
      <c r="G57" s="3">
        <v>45077</v>
      </c>
      <c r="H57" s="4" t="s">
        <v>89</v>
      </c>
      <c r="I57" s="4" t="s">
        <v>3</v>
      </c>
      <c r="J57" s="4" t="str">
        <f>IF(K57&lt;30, "Young Adult","Adult")</f>
        <v>Young Adult</v>
      </c>
      <c r="K57" s="4">
        <v>26</v>
      </c>
      <c r="L57" s="4" t="s">
        <v>7</v>
      </c>
      <c r="M57" s="4">
        <v>3</v>
      </c>
      <c r="N57" s="5">
        <v>300</v>
      </c>
      <c r="O57">
        <f>(M57*N57)</f>
        <v>900</v>
      </c>
      <c r="P57">
        <f>O57*$S$3</f>
        <v>13.5</v>
      </c>
      <c r="Q57">
        <f>O57*$S$4</f>
        <v>18</v>
      </c>
    </row>
    <row r="58" spans="1:17">
      <c r="A58" s="2">
        <v>57</v>
      </c>
      <c r="B58" s="4">
        <f>DAY(G58)</f>
        <v>18</v>
      </c>
      <c r="C58">
        <f>MONTH(G58)</f>
        <v>11</v>
      </c>
      <c r="D58">
        <f>YEAR(G58)</f>
        <v>2023</v>
      </c>
      <c r="E58" t="str">
        <f>TEXT(G58,"DDDD")</f>
        <v>Saturday</v>
      </c>
      <c r="F58" t="str">
        <f>TEXT(G58,"MMMM")</f>
        <v>November</v>
      </c>
      <c r="G58" s="3">
        <v>45248</v>
      </c>
      <c r="H58" s="4" t="s">
        <v>90</v>
      </c>
      <c r="I58" s="4" t="s">
        <v>3</v>
      </c>
      <c r="J58" s="4" t="str" cm="1">
        <f t="array" ref="J58">_xlfn.IFS(K2&gt;=30,"Senior",K2&gt;=30,"Adult",K2&lt;30,"Young Adult")</f>
        <v>Senior</v>
      </c>
      <c r="K58" s="4">
        <v>63</v>
      </c>
      <c r="L58" s="4" t="s">
        <v>6</v>
      </c>
      <c r="M58" s="4">
        <v>1</v>
      </c>
      <c r="N58" s="5">
        <v>30</v>
      </c>
      <c r="O58">
        <f>(M58*N58)</f>
        <v>30</v>
      </c>
      <c r="P58">
        <f>O58*$S$3</f>
        <v>0.44999999999999996</v>
      </c>
      <c r="Q58">
        <f>O58*$S$4</f>
        <v>0.6</v>
      </c>
    </row>
    <row r="59" spans="1:17">
      <c r="A59" s="2">
        <v>58</v>
      </c>
      <c r="B59" s="4">
        <f>DAY(G59)</f>
        <v>13</v>
      </c>
      <c r="C59">
        <f>MONTH(G59)</f>
        <v>11</v>
      </c>
      <c r="D59">
        <f>YEAR(G59)</f>
        <v>2023</v>
      </c>
      <c r="E59" t="str">
        <f>TEXT(G59,"DDDD")</f>
        <v>Monday</v>
      </c>
      <c r="F59" t="str">
        <f>TEXT(G59,"MMMM")</f>
        <v>November</v>
      </c>
      <c r="G59" s="3">
        <v>45243</v>
      </c>
      <c r="H59" s="4" t="s">
        <v>91</v>
      </c>
      <c r="I59" s="4" t="s">
        <v>4</v>
      </c>
      <c r="J59" s="4" t="str">
        <f>IF(K59&lt;30, "Young Adult","Adult")</f>
        <v>Young Adult</v>
      </c>
      <c r="K59" s="4">
        <v>18</v>
      </c>
      <c r="L59" s="4" t="s">
        <v>7</v>
      </c>
      <c r="M59" s="4">
        <v>4</v>
      </c>
      <c r="N59" s="5">
        <v>300</v>
      </c>
      <c r="O59">
        <f>(M59*N59)</f>
        <v>1200</v>
      </c>
      <c r="P59">
        <f>O59*$S$3</f>
        <v>18</v>
      </c>
      <c r="Q59">
        <f>O59*$S$4</f>
        <v>24</v>
      </c>
    </row>
    <row r="60" spans="1:17">
      <c r="A60" s="2">
        <v>59</v>
      </c>
      <c r="B60" s="4">
        <f>DAY(G60)</f>
        <v>5</v>
      </c>
      <c r="C60">
        <f>MONTH(G60)</f>
        <v>7</v>
      </c>
      <c r="D60">
        <f>YEAR(G60)</f>
        <v>2023</v>
      </c>
      <c r="E60" t="str">
        <f>TEXT(G60,"DDDD")</f>
        <v>Wednesday</v>
      </c>
      <c r="F60" t="str">
        <f>TEXT(G60,"MMMM")</f>
        <v>July</v>
      </c>
      <c r="G60" s="3">
        <v>45112</v>
      </c>
      <c r="H60" s="4" t="s">
        <v>92</v>
      </c>
      <c r="I60" s="4" t="s">
        <v>4</v>
      </c>
      <c r="J60" s="4" t="str" cm="1">
        <f t="array" ref="J60">_xlfn.IFS(K2&gt;=30,"Senior",K2&gt;=30,"Adult",K2&lt;30,"Young Adult")</f>
        <v>Senior</v>
      </c>
      <c r="K60" s="4">
        <v>62</v>
      </c>
      <c r="L60" s="4" t="s">
        <v>7</v>
      </c>
      <c r="M60" s="4">
        <v>1</v>
      </c>
      <c r="N60" s="5">
        <v>50</v>
      </c>
      <c r="O60">
        <f>(M60*N60)</f>
        <v>50</v>
      </c>
      <c r="P60">
        <f>O60*$S$3</f>
        <v>0.75</v>
      </c>
      <c r="Q60">
        <f>O60*$S$4</f>
        <v>1</v>
      </c>
    </row>
    <row r="61" spans="1:17">
      <c r="A61" s="2">
        <v>60</v>
      </c>
      <c r="B61" s="4">
        <f>DAY(G61)</f>
        <v>23</v>
      </c>
      <c r="C61">
        <f>MONTH(G61)</f>
        <v>10</v>
      </c>
      <c r="D61">
        <f>YEAR(G61)</f>
        <v>2023</v>
      </c>
      <c r="E61" t="str">
        <f>TEXT(G61,"DDDD")</f>
        <v>Monday</v>
      </c>
      <c r="F61" t="str">
        <f>TEXT(G61,"MMMM")</f>
        <v>October</v>
      </c>
      <c r="G61" s="3">
        <v>45222</v>
      </c>
      <c r="H61" s="4" t="s">
        <v>93</v>
      </c>
      <c r="I61" s="4" t="s">
        <v>4</v>
      </c>
      <c r="J61" s="4" t="str">
        <f>IF(K61&lt;30, "Young Adult","Adult")</f>
        <v>Adult</v>
      </c>
      <c r="K61" s="4">
        <v>30</v>
      </c>
      <c r="L61" s="4" t="s">
        <v>6</v>
      </c>
      <c r="M61" s="4">
        <v>3</v>
      </c>
      <c r="N61" s="5">
        <v>50</v>
      </c>
      <c r="O61">
        <f>(M61*N61)</f>
        <v>150</v>
      </c>
      <c r="P61">
        <f>O61*$S$3</f>
        <v>2.25</v>
      </c>
      <c r="Q61">
        <f>O61*$S$4</f>
        <v>3</v>
      </c>
    </row>
    <row r="62" spans="1:17">
      <c r="A62" s="2">
        <v>61</v>
      </c>
      <c r="B62" s="4">
        <f>DAY(G62)</f>
        <v>9</v>
      </c>
      <c r="C62">
        <f>MONTH(G62)</f>
        <v>4</v>
      </c>
      <c r="D62">
        <f>YEAR(G62)</f>
        <v>2023</v>
      </c>
      <c r="E62" t="str">
        <f>TEXT(G62,"DDDD")</f>
        <v>Sunday</v>
      </c>
      <c r="F62" t="str">
        <f>TEXT(G62,"MMMM")</f>
        <v>April</v>
      </c>
      <c r="G62" s="3">
        <v>45025</v>
      </c>
      <c r="H62" s="4" t="s">
        <v>94</v>
      </c>
      <c r="I62" s="4" t="s">
        <v>4</v>
      </c>
      <c r="J62" s="4" t="str">
        <f>IF(K62&lt;30, "Young Adult","Adult")</f>
        <v>Young Adult</v>
      </c>
      <c r="K62" s="4">
        <v>21</v>
      </c>
      <c r="L62" s="4" t="s">
        <v>6</v>
      </c>
      <c r="M62" s="4">
        <v>4</v>
      </c>
      <c r="N62" s="5">
        <v>50</v>
      </c>
      <c r="O62">
        <f>(M62*N62)</f>
        <v>200</v>
      </c>
      <c r="P62">
        <f>O62*$S$3</f>
        <v>3</v>
      </c>
      <c r="Q62">
        <f>O62*$S$4</f>
        <v>4</v>
      </c>
    </row>
    <row r="63" spans="1:17">
      <c r="A63" s="2">
        <v>62</v>
      </c>
      <c r="B63" s="4">
        <f>DAY(G63)</f>
        <v>27</v>
      </c>
      <c r="C63">
        <f>MONTH(G63)</f>
        <v>12</v>
      </c>
      <c r="D63">
        <f>YEAR(G63)</f>
        <v>2023</v>
      </c>
      <c r="E63" t="str">
        <f>TEXT(G63,"DDDD")</f>
        <v>Wednesday</v>
      </c>
      <c r="F63" t="str">
        <f>TEXT(G63,"MMMM")</f>
        <v>December</v>
      </c>
      <c r="G63" s="3">
        <v>45287</v>
      </c>
      <c r="H63" s="4" t="s">
        <v>95</v>
      </c>
      <c r="I63" s="4" t="s">
        <v>4</v>
      </c>
      <c r="J63" s="4" t="str">
        <f>IF(K63&lt;30, "Young Adult","Adult")</f>
        <v>Young Adult</v>
      </c>
      <c r="K63" s="4">
        <v>18</v>
      </c>
      <c r="L63" s="4" t="s">
        <v>6</v>
      </c>
      <c r="M63" s="4">
        <v>2</v>
      </c>
      <c r="N63" s="5">
        <v>50</v>
      </c>
      <c r="O63">
        <f>(M63*N63)</f>
        <v>100</v>
      </c>
      <c r="P63">
        <f>O63*$S$3</f>
        <v>1.5</v>
      </c>
      <c r="Q63">
        <f>O63*$S$4</f>
        <v>2</v>
      </c>
    </row>
    <row r="64" spans="1:17">
      <c r="A64" s="2">
        <v>63</v>
      </c>
      <c r="B64" s="4">
        <f>DAY(G64)</f>
        <v>5</v>
      </c>
      <c r="C64">
        <f>MONTH(G64)</f>
        <v>2</v>
      </c>
      <c r="D64">
        <f>YEAR(G64)</f>
        <v>2023</v>
      </c>
      <c r="E64" t="str">
        <f>TEXT(G64,"DDDD")</f>
        <v>Sunday</v>
      </c>
      <c r="F64" t="str">
        <f>TEXT(G64,"MMMM")</f>
        <v>February</v>
      </c>
      <c r="G64" s="3">
        <v>44962</v>
      </c>
      <c r="H64" s="4" t="s">
        <v>96</v>
      </c>
      <c r="I64" s="4" t="s">
        <v>4</v>
      </c>
      <c r="J64" s="4" t="str" cm="1">
        <f t="array" ref="J64">_xlfn.IFS(K2&gt;=30,"Senior",K2&gt;=30,"Adult",K2&lt;30,"Young Adult")</f>
        <v>Senior</v>
      </c>
      <c r="K64" s="4">
        <v>57</v>
      </c>
      <c r="L64" s="4" t="s">
        <v>8</v>
      </c>
      <c r="M64" s="4">
        <v>2</v>
      </c>
      <c r="N64" s="5">
        <v>25</v>
      </c>
      <c r="O64">
        <f>(M64*N64)</f>
        <v>50</v>
      </c>
      <c r="P64">
        <f>O64*$S$3</f>
        <v>0.75</v>
      </c>
      <c r="Q64">
        <f>O64*$S$4</f>
        <v>1</v>
      </c>
    </row>
    <row r="65" spans="1:17">
      <c r="A65" s="2">
        <v>64</v>
      </c>
      <c r="B65" s="4">
        <f>DAY(G65)</f>
        <v>24</v>
      </c>
      <c r="C65">
        <f>MONTH(G65)</f>
        <v>1</v>
      </c>
      <c r="D65">
        <f>YEAR(G65)</f>
        <v>2023</v>
      </c>
      <c r="E65" t="str">
        <f>TEXT(G65,"DDDD")</f>
        <v>Tuesday</v>
      </c>
      <c r="F65" t="str">
        <f>TEXT(G65,"MMMM")</f>
        <v>January</v>
      </c>
      <c r="G65" s="3">
        <v>44950</v>
      </c>
      <c r="H65" s="4" t="s">
        <v>97</v>
      </c>
      <c r="I65" s="4" t="s">
        <v>4</v>
      </c>
      <c r="J65" s="4" t="str">
        <f>IF(K65&lt;30, "Young Adult","Adult")</f>
        <v>Adult</v>
      </c>
      <c r="K65" s="4">
        <v>49</v>
      </c>
      <c r="L65" s="4" t="s">
        <v>7</v>
      </c>
      <c r="M65" s="4">
        <v>4</v>
      </c>
      <c r="N65" s="5">
        <v>25</v>
      </c>
      <c r="O65">
        <f>(M65*N65)</f>
        <v>100</v>
      </c>
      <c r="P65">
        <f>O65*$S$3</f>
        <v>1.5</v>
      </c>
      <c r="Q65">
        <f>O65*$S$4</f>
        <v>2</v>
      </c>
    </row>
    <row r="66" spans="1:17">
      <c r="A66" s="2">
        <v>65</v>
      </c>
      <c r="B66" s="4">
        <f>DAY(G66)</f>
        <v>5</v>
      </c>
      <c r="C66">
        <f>MONTH(G66)</f>
        <v>12</v>
      </c>
      <c r="D66">
        <f>YEAR(G66)</f>
        <v>2023</v>
      </c>
      <c r="E66" t="str">
        <f>TEXT(G66,"DDDD")</f>
        <v>Tuesday</v>
      </c>
      <c r="F66" t="str">
        <f>TEXT(G66,"MMMM")</f>
        <v>December</v>
      </c>
      <c r="G66" s="3">
        <v>45265</v>
      </c>
      <c r="H66" s="4" t="s">
        <v>98</v>
      </c>
      <c r="I66" s="4" t="s">
        <v>4</v>
      </c>
      <c r="J66" s="4" t="str" cm="1">
        <f t="array" ref="J66">_xlfn.IFS(K2&gt;=30,"Senior",K2&gt;=30,"Adult",K2&lt;30,"Young Adult")</f>
        <v>Senior</v>
      </c>
      <c r="K66" s="4">
        <v>51</v>
      </c>
      <c r="L66" s="4" t="s">
        <v>8</v>
      </c>
      <c r="M66" s="4">
        <v>4</v>
      </c>
      <c r="N66" s="5">
        <v>500</v>
      </c>
      <c r="O66">
        <f>(M66*N66)</f>
        <v>2000</v>
      </c>
      <c r="P66">
        <f>O66*$S$3</f>
        <v>30</v>
      </c>
      <c r="Q66">
        <f>O66*$S$4</f>
        <v>40</v>
      </c>
    </row>
    <row r="67" spans="1:17">
      <c r="A67" s="2">
        <v>66</v>
      </c>
      <c r="B67" s="4">
        <f>DAY(G67)</f>
        <v>27</v>
      </c>
      <c r="C67">
        <f>MONTH(G67)</f>
        <v>4</v>
      </c>
      <c r="D67">
        <f>YEAR(G67)</f>
        <v>2023</v>
      </c>
      <c r="E67" t="str">
        <f>TEXT(G67,"DDDD")</f>
        <v>Thursday</v>
      </c>
      <c r="F67" t="str">
        <f>TEXT(G67,"MMMM")</f>
        <v>April</v>
      </c>
      <c r="G67" s="3">
        <v>45043</v>
      </c>
      <c r="H67" s="4" t="s">
        <v>99</v>
      </c>
      <c r="I67" s="4" t="s">
        <v>3</v>
      </c>
      <c r="J67" s="4" t="str">
        <f>IF(K67&lt;30, "Young Adult","Adult")</f>
        <v>Adult</v>
      </c>
      <c r="K67" s="4">
        <v>45</v>
      </c>
      <c r="L67" s="4" t="s">
        <v>8</v>
      </c>
      <c r="M67" s="4">
        <v>1</v>
      </c>
      <c r="N67" s="5">
        <v>30</v>
      </c>
      <c r="O67">
        <f>(M67*N67)</f>
        <v>30</v>
      </c>
      <c r="P67">
        <f>O67*$S$3</f>
        <v>0.44999999999999996</v>
      </c>
      <c r="Q67">
        <f>O67*$S$4</f>
        <v>0.6</v>
      </c>
    </row>
    <row r="68" spans="1:17">
      <c r="A68" s="2">
        <v>67</v>
      </c>
      <c r="B68" s="4">
        <f>DAY(G68)</f>
        <v>29</v>
      </c>
      <c r="C68">
        <f>MONTH(G68)</f>
        <v>5</v>
      </c>
      <c r="D68">
        <f>YEAR(G68)</f>
        <v>2023</v>
      </c>
      <c r="E68" t="str">
        <f>TEXT(G68,"DDDD")</f>
        <v>Monday</v>
      </c>
      <c r="F68" t="str">
        <f>TEXT(G68,"MMMM")</f>
        <v>May</v>
      </c>
      <c r="G68" s="3">
        <v>45075</v>
      </c>
      <c r="H68" s="4" t="s">
        <v>100</v>
      </c>
      <c r="I68" s="4" t="s">
        <v>3</v>
      </c>
      <c r="J68" s="4" t="str">
        <f>IF(K68&lt;30, "Young Adult","Adult")</f>
        <v>Adult</v>
      </c>
      <c r="K68" s="4">
        <v>48</v>
      </c>
      <c r="L68" s="4" t="s">
        <v>6</v>
      </c>
      <c r="M68" s="4">
        <v>4</v>
      </c>
      <c r="N68" s="5">
        <v>300</v>
      </c>
      <c r="O68">
        <f>(M68*N68)</f>
        <v>1200</v>
      </c>
      <c r="P68">
        <f>O68*$S$3</f>
        <v>18</v>
      </c>
      <c r="Q68">
        <f>O68*$S$4</f>
        <v>24</v>
      </c>
    </row>
    <row r="69" spans="1:17">
      <c r="A69" s="2">
        <v>68</v>
      </c>
      <c r="B69" s="4">
        <f>DAY(G69)</f>
        <v>10</v>
      </c>
      <c r="C69">
        <f>MONTH(G69)</f>
        <v>2</v>
      </c>
      <c r="D69">
        <f>YEAR(G69)</f>
        <v>2023</v>
      </c>
      <c r="E69" t="str">
        <f>TEXT(G69,"DDDD")</f>
        <v>Friday</v>
      </c>
      <c r="F69" t="str">
        <f>TEXT(G69,"MMMM")</f>
        <v>February</v>
      </c>
      <c r="G69" s="3">
        <v>44967</v>
      </c>
      <c r="H69" s="4" t="s">
        <v>101</v>
      </c>
      <c r="I69" s="4" t="s">
        <v>4</v>
      </c>
      <c r="J69" s="4" t="str">
        <f>IF(K69&lt;30, "Young Adult","Adult")</f>
        <v>Young Adult</v>
      </c>
      <c r="K69" s="4">
        <v>25</v>
      </c>
      <c r="L69" s="4" t="s">
        <v>8</v>
      </c>
      <c r="M69" s="4">
        <v>1</v>
      </c>
      <c r="N69" s="5">
        <v>300</v>
      </c>
      <c r="O69">
        <f>(M69*N69)</f>
        <v>300</v>
      </c>
      <c r="P69">
        <f>O69*$S$3</f>
        <v>4.5</v>
      </c>
      <c r="Q69">
        <f>O69*$S$4</f>
        <v>6</v>
      </c>
    </row>
    <row r="70" spans="1:17">
      <c r="A70" s="2">
        <v>69</v>
      </c>
      <c r="B70" s="4">
        <f>DAY(G70)</f>
        <v>30</v>
      </c>
      <c r="C70">
        <f>MONTH(G70)</f>
        <v>4</v>
      </c>
      <c r="D70">
        <f>YEAR(G70)</f>
        <v>2023</v>
      </c>
      <c r="E70" t="str">
        <f>TEXT(G70,"DDDD")</f>
        <v>Sunday</v>
      </c>
      <c r="F70" t="str">
        <f>TEXT(G70,"MMMM")</f>
        <v>April</v>
      </c>
      <c r="G70" s="3">
        <v>45046</v>
      </c>
      <c r="H70" s="4" t="s">
        <v>102</v>
      </c>
      <c r="I70" s="4" t="s">
        <v>3</v>
      </c>
      <c r="J70" s="4" t="str" cm="1">
        <f t="array" ref="J70">_xlfn.IFS(K2&gt;=30,"Senior",K2&gt;=30,"Adult",K2&lt;30,"Young Adult")</f>
        <v>Senior</v>
      </c>
      <c r="K70" s="4">
        <v>56</v>
      </c>
      <c r="L70" s="4" t="s">
        <v>6</v>
      </c>
      <c r="M70" s="4">
        <v>3</v>
      </c>
      <c r="N70" s="5">
        <v>25</v>
      </c>
      <c r="O70">
        <f>(M70*N70)</f>
        <v>75</v>
      </c>
      <c r="P70">
        <f>O70*$S$3</f>
        <v>1.125</v>
      </c>
      <c r="Q70">
        <f>O70*$S$4</f>
        <v>1.5</v>
      </c>
    </row>
    <row r="71" spans="1:17">
      <c r="A71" s="2">
        <v>70</v>
      </c>
      <c r="B71" s="4">
        <f>DAY(G71)</f>
        <v>21</v>
      </c>
      <c r="C71">
        <f>MONTH(G71)</f>
        <v>2</v>
      </c>
      <c r="D71">
        <f>YEAR(G71)</f>
        <v>2023</v>
      </c>
      <c r="E71" t="str">
        <f>TEXT(G71,"DDDD")</f>
        <v>Tuesday</v>
      </c>
      <c r="F71" t="str">
        <f>TEXT(G71,"MMMM")</f>
        <v>February</v>
      </c>
      <c r="G71" s="3">
        <v>44978</v>
      </c>
      <c r="H71" s="4" t="s">
        <v>103</v>
      </c>
      <c r="I71" s="4" t="s">
        <v>3</v>
      </c>
      <c r="J71" s="4" t="str">
        <f>IF(K71&lt;30, "Young Adult","Adult")</f>
        <v>Adult</v>
      </c>
      <c r="K71" s="4">
        <v>43</v>
      </c>
      <c r="L71" s="4" t="s">
        <v>7</v>
      </c>
      <c r="M71" s="4">
        <v>1</v>
      </c>
      <c r="N71" s="5">
        <v>300</v>
      </c>
      <c r="O71">
        <f>(M71*N71)</f>
        <v>300</v>
      </c>
      <c r="P71">
        <f>O71*$S$3</f>
        <v>4.5</v>
      </c>
      <c r="Q71">
        <f>O71*$S$4</f>
        <v>6</v>
      </c>
    </row>
    <row r="72" spans="1:17">
      <c r="A72" s="2">
        <v>71</v>
      </c>
      <c r="B72" s="4">
        <f>DAY(G72)</f>
        <v>14</v>
      </c>
      <c r="C72">
        <f>MONTH(G72)</f>
        <v>7</v>
      </c>
      <c r="D72">
        <f>YEAR(G72)</f>
        <v>2023</v>
      </c>
      <c r="E72" t="str">
        <f>TEXT(G72,"DDDD")</f>
        <v>Friday</v>
      </c>
      <c r="F72" t="str">
        <f>TEXT(G72,"MMMM")</f>
        <v>July</v>
      </c>
      <c r="G72" s="3">
        <v>45121</v>
      </c>
      <c r="H72" s="4" t="s">
        <v>104</v>
      </c>
      <c r="I72" s="4" t="s">
        <v>3</v>
      </c>
      <c r="J72" s="4" t="str" cm="1">
        <f t="array" ref="J72">_xlfn.IFS(K2&gt;=30,"Senior",K2&gt;=30,"Adult",K2&lt;30,"Young Adult")</f>
        <v>Senior</v>
      </c>
      <c r="K72" s="4">
        <v>51</v>
      </c>
      <c r="L72" s="4" t="s">
        <v>6</v>
      </c>
      <c r="M72" s="4">
        <v>4</v>
      </c>
      <c r="N72" s="5">
        <v>25</v>
      </c>
      <c r="O72">
        <f>(M72*N72)</f>
        <v>100</v>
      </c>
      <c r="P72">
        <f>O72*$S$3</f>
        <v>1.5</v>
      </c>
      <c r="Q72">
        <f>O72*$S$4</f>
        <v>2</v>
      </c>
    </row>
    <row r="73" spans="1:17">
      <c r="A73" s="2">
        <v>72</v>
      </c>
      <c r="B73" s="4">
        <f>DAY(G73)</f>
        <v>23</v>
      </c>
      <c r="C73">
        <f>MONTH(G73)</f>
        <v>5</v>
      </c>
      <c r="D73">
        <f>YEAR(G73)</f>
        <v>2023</v>
      </c>
      <c r="E73" t="str">
        <f>TEXT(G73,"DDDD")</f>
        <v>Tuesday</v>
      </c>
      <c r="F73" t="str">
        <f>TEXT(G73,"MMMM")</f>
        <v>May</v>
      </c>
      <c r="G73" s="3">
        <v>45069</v>
      </c>
      <c r="H73" s="4" t="s">
        <v>105</v>
      </c>
      <c r="I73" s="4" t="s">
        <v>3</v>
      </c>
      <c r="J73" s="4" t="str">
        <f>IF(K73&lt;30, "Young Adult","Adult")</f>
        <v>Young Adult</v>
      </c>
      <c r="K73" s="4">
        <v>20</v>
      </c>
      <c r="L73" s="4" t="s">
        <v>8</v>
      </c>
      <c r="M73" s="4">
        <v>4</v>
      </c>
      <c r="N73" s="5">
        <v>500</v>
      </c>
      <c r="O73">
        <f>(M73*N73)</f>
        <v>2000</v>
      </c>
      <c r="P73">
        <f>O73*$S$3</f>
        <v>30</v>
      </c>
      <c r="Q73">
        <f>O73*$S$4</f>
        <v>40</v>
      </c>
    </row>
    <row r="74" spans="1:17">
      <c r="A74" s="2">
        <v>73</v>
      </c>
      <c r="B74" s="4">
        <f>DAY(G74)</f>
        <v>21</v>
      </c>
      <c r="C74">
        <f>MONTH(G74)</f>
        <v>8</v>
      </c>
      <c r="D74">
        <f>YEAR(G74)</f>
        <v>2023</v>
      </c>
      <c r="E74" t="str">
        <f>TEXT(G74,"DDDD")</f>
        <v>Monday</v>
      </c>
      <c r="F74" t="str">
        <f>TEXT(G74,"MMMM")</f>
        <v>August</v>
      </c>
      <c r="G74" s="3">
        <v>45159</v>
      </c>
      <c r="H74" s="4" t="s">
        <v>106</v>
      </c>
      <c r="I74" s="4" t="s">
        <v>4</v>
      </c>
      <c r="J74" s="4" t="str">
        <f>IF(K74&lt;30, "Young Adult","Adult")</f>
        <v>Young Adult</v>
      </c>
      <c r="K74" s="4">
        <v>29</v>
      </c>
      <c r="L74" s="4" t="s">
        <v>8</v>
      </c>
      <c r="M74" s="4">
        <v>3</v>
      </c>
      <c r="N74" s="5">
        <v>30</v>
      </c>
      <c r="O74">
        <f>(M74*N74)</f>
        <v>90</v>
      </c>
      <c r="P74">
        <f>O74*$S$3</f>
        <v>1.3499999999999999</v>
      </c>
      <c r="Q74">
        <f>O74*$S$4</f>
        <v>1.8</v>
      </c>
    </row>
    <row r="75" spans="1:17">
      <c r="A75" s="2">
        <v>74</v>
      </c>
      <c r="B75" s="4">
        <f>DAY(G75)</f>
        <v>22</v>
      </c>
      <c r="C75">
        <f>MONTH(G75)</f>
        <v>11</v>
      </c>
      <c r="D75">
        <f>YEAR(G75)</f>
        <v>2023</v>
      </c>
      <c r="E75" t="str">
        <f>TEXT(G75,"DDDD")</f>
        <v>Wednesday</v>
      </c>
      <c r="F75" t="str">
        <f>TEXT(G75,"MMMM")</f>
        <v>November</v>
      </c>
      <c r="G75" s="3">
        <v>45252</v>
      </c>
      <c r="H75" s="4" t="s">
        <v>107</v>
      </c>
      <c r="I75" s="4" t="s">
        <v>3</v>
      </c>
      <c r="J75" s="4" t="str">
        <f>IF(K75&lt;30, "Young Adult","Adult")</f>
        <v>Young Adult</v>
      </c>
      <c r="K75" s="4">
        <v>18</v>
      </c>
      <c r="L75" s="4" t="s">
        <v>6</v>
      </c>
      <c r="M75" s="4">
        <v>4</v>
      </c>
      <c r="N75" s="5">
        <v>500</v>
      </c>
      <c r="O75">
        <f>(M75*N75)</f>
        <v>2000</v>
      </c>
      <c r="P75">
        <f>O75*$S$3</f>
        <v>30</v>
      </c>
      <c r="Q75">
        <f>O75*$S$4</f>
        <v>40</v>
      </c>
    </row>
    <row r="76" spans="1:17">
      <c r="A76" s="2">
        <v>75</v>
      </c>
      <c r="B76" s="4">
        <f>DAY(G76)</f>
        <v>6</v>
      </c>
      <c r="C76">
        <f>MONTH(G76)</f>
        <v>7</v>
      </c>
      <c r="D76">
        <f>YEAR(G76)</f>
        <v>2023</v>
      </c>
      <c r="E76" t="str">
        <f>TEXT(G76,"DDDD")</f>
        <v>Thursday</v>
      </c>
      <c r="F76" t="str">
        <f>TEXT(G76,"MMMM")</f>
        <v>July</v>
      </c>
      <c r="G76" s="3">
        <v>45113</v>
      </c>
      <c r="H76" s="4" t="s">
        <v>108</v>
      </c>
      <c r="I76" s="4" t="s">
        <v>4</v>
      </c>
      <c r="J76" s="4" t="str" cm="1">
        <f t="array" ref="J76">_xlfn.IFS(K2&gt;=30,"Senior",K2&gt;=30,"Adult",K2&lt;30,"Young Adult")</f>
        <v>Senior</v>
      </c>
      <c r="K76" s="4">
        <v>61</v>
      </c>
      <c r="L76" s="4" t="s">
        <v>6</v>
      </c>
      <c r="M76" s="4">
        <v>4</v>
      </c>
      <c r="N76" s="5">
        <v>50</v>
      </c>
      <c r="O76">
        <f>(M76*N76)</f>
        <v>200</v>
      </c>
      <c r="P76">
        <f>O76*$S$3</f>
        <v>3</v>
      </c>
      <c r="Q76">
        <f>O76*$S$4</f>
        <v>4</v>
      </c>
    </row>
    <row r="77" spans="1:17">
      <c r="A77" s="2">
        <v>76</v>
      </c>
      <c r="B77" s="4">
        <f>DAY(G77)</f>
        <v>25</v>
      </c>
      <c r="C77">
        <f>MONTH(G77)</f>
        <v>3</v>
      </c>
      <c r="D77">
        <f>YEAR(G77)</f>
        <v>2023</v>
      </c>
      <c r="E77" t="str">
        <f>TEXT(G77,"DDDD")</f>
        <v>Saturday</v>
      </c>
      <c r="F77" t="str">
        <f>TEXT(G77,"MMMM")</f>
        <v>March</v>
      </c>
      <c r="G77" s="3">
        <v>45010</v>
      </c>
      <c r="H77" s="4" t="s">
        <v>109</v>
      </c>
      <c r="I77" s="4" t="s">
        <v>3</v>
      </c>
      <c r="J77" s="4" t="str">
        <f>IF(K77&lt;30, "Young Adult","Adult")</f>
        <v>Young Adult</v>
      </c>
      <c r="K77" s="4">
        <v>22</v>
      </c>
      <c r="L77" s="4" t="s">
        <v>8</v>
      </c>
      <c r="M77" s="4">
        <v>2</v>
      </c>
      <c r="N77" s="5">
        <v>50</v>
      </c>
      <c r="O77">
        <f>(M77*N77)</f>
        <v>100</v>
      </c>
      <c r="P77">
        <f>O77*$S$3</f>
        <v>1.5</v>
      </c>
      <c r="Q77">
        <f>O77*$S$4</f>
        <v>2</v>
      </c>
    </row>
    <row r="78" spans="1:17">
      <c r="A78" s="2">
        <v>77</v>
      </c>
      <c r="B78" s="4">
        <f>DAY(G78)</f>
        <v>9</v>
      </c>
      <c r="C78">
        <f>MONTH(G78)</f>
        <v>7</v>
      </c>
      <c r="D78">
        <f>YEAR(G78)</f>
        <v>2023</v>
      </c>
      <c r="E78" t="str">
        <f>TEXT(G78,"DDDD")</f>
        <v>Sunday</v>
      </c>
      <c r="F78" t="str">
        <f>TEXT(G78,"MMMM")</f>
        <v>July</v>
      </c>
      <c r="G78" s="3">
        <v>45116</v>
      </c>
      <c r="H78" s="4" t="s">
        <v>110</v>
      </c>
      <c r="I78" s="4" t="s">
        <v>3</v>
      </c>
      <c r="J78" s="4" t="str">
        <f>IF(K78&lt;30, "Young Adult","Adult")</f>
        <v>Adult</v>
      </c>
      <c r="K78" s="4">
        <v>47</v>
      </c>
      <c r="L78" s="4" t="s">
        <v>7</v>
      </c>
      <c r="M78" s="4">
        <v>2</v>
      </c>
      <c r="N78" s="5">
        <v>50</v>
      </c>
      <c r="O78">
        <f>(M78*N78)</f>
        <v>100</v>
      </c>
      <c r="P78">
        <f>O78*$S$3</f>
        <v>1.5</v>
      </c>
      <c r="Q78">
        <f>O78*$S$4</f>
        <v>2</v>
      </c>
    </row>
    <row r="79" spans="1:17">
      <c r="A79" s="2">
        <v>78</v>
      </c>
      <c r="B79" s="4">
        <f>DAY(G79)</f>
        <v>1</v>
      </c>
      <c r="C79">
        <f>MONTH(G79)</f>
        <v>7</v>
      </c>
      <c r="D79">
        <f>YEAR(G79)</f>
        <v>2023</v>
      </c>
      <c r="E79" t="str">
        <f>TEXT(G79,"DDDD")</f>
        <v>Saturday</v>
      </c>
      <c r="F79" t="str">
        <f>TEXT(G79,"MMMM")</f>
        <v>July</v>
      </c>
      <c r="G79" s="3">
        <v>45108</v>
      </c>
      <c r="H79" s="4" t="s">
        <v>111</v>
      </c>
      <c r="I79" s="4" t="s">
        <v>3</v>
      </c>
      <c r="J79" s="4" t="str">
        <f>IF(K79&lt;30, "Young Adult","Adult")</f>
        <v>Adult</v>
      </c>
      <c r="K79" s="4">
        <v>47</v>
      </c>
      <c r="L79" s="4" t="s">
        <v>7</v>
      </c>
      <c r="M79" s="4">
        <v>3</v>
      </c>
      <c r="N79" s="5">
        <v>500</v>
      </c>
      <c r="O79">
        <f>(M79*N79)</f>
        <v>1500</v>
      </c>
      <c r="P79">
        <f>O79*$S$3</f>
        <v>22.5</v>
      </c>
      <c r="Q79">
        <f>O79*$S$4</f>
        <v>30</v>
      </c>
    </row>
    <row r="80" spans="1:17">
      <c r="A80" s="2">
        <v>79</v>
      </c>
      <c r="B80" s="4">
        <f>DAY(G80)</f>
        <v>18</v>
      </c>
      <c r="C80">
        <f>MONTH(G80)</f>
        <v>4</v>
      </c>
      <c r="D80">
        <f>YEAR(G80)</f>
        <v>2023</v>
      </c>
      <c r="E80" t="str">
        <f>TEXT(G80,"DDDD")</f>
        <v>Tuesday</v>
      </c>
      <c r="F80" t="str">
        <f>TEXT(G80,"MMMM")</f>
        <v>April</v>
      </c>
      <c r="G80" s="3">
        <v>45034</v>
      </c>
      <c r="H80" s="4" t="s">
        <v>112</v>
      </c>
      <c r="I80" s="4" t="s">
        <v>4</v>
      </c>
      <c r="J80" s="4" t="str">
        <f>IF(K80&lt;30, "Young Adult","Adult")</f>
        <v>Adult</v>
      </c>
      <c r="K80" s="4">
        <v>34</v>
      </c>
      <c r="L80" s="4" t="s">
        <v>6</v>
      </c>
      <c r="M80" s="4">
        <v>1</v>
      </c>
      <c r="N80" s="5">
        <v>300</v>
      </c>
      <c r="O80">
        <f>(M80*N80)</f>
        <v>300</v>
      </c>
      <c r="P80">
        <f>O80*$S$3</f>
        <v>4.5</v>
      </c>
      <c r="Q80">
        <f>O80*$S$4</f>
        <v>6</v>
      </c>
    </row>
    <row r="81" spans="1:17">
      <c r="A81" s="2">
        <v>80</v>
      </c>
      <c r="B81" s="4">
        <f>DAY(G81)</f>
        <v>10</v>
      </c>
      <c r="C81">
        <f>MONTH(G81)</f>
        <v>12</v>
      </c>
      <c r="D81">
        <f>YEAR(G81)</f>
        <v>2023</v>
      </c>
      <c r="E81" t="str">
        <f>TEXT(G81,"DDDD")</f>
        <v>Sunday</v>
      </c>
      <c r="F81" t="str">
        <f>TEXT(G81,"MMMM")</f>
        <v>December</v>
      </c>
      <c r="G81" s="3">
        <v>45270</v>
      </c>
      <c r="H81" s="4" t="s">
        <v>113</v>
      </c>
      <c r="I81" s="4" t="s">
        <v>3</v>
      </c>
      <c r="J81" s="4" t="str" cm="1">
        <f t="array" ref="J81">_xlfn.IFS(K2&gt;=30,"Senior",K2&gt;=30,"Adult",K2&lt;30,"Young Adult")</f>
        <v>Senior</v>
      </c>
      <c r="K81" s="4">
        <v>64</v>
      </c>
      <c r="L81" s="4" t="s">
        <v>7</v>
      </c>
      <c r="M81" s="4">
        <v>2</v>
      </c>
      <c r="N81" s="5">
        <v>30</v>
      </c>
      <c r="O81">
        <f>(M81*N81)</f>
        <v>60</v>
      </c>
      <c r="P81">
        <f>O81*$S$3</f>
        <v>0.89999999999999991</v>
      </c>
      <c r="Q81">
        <f>O81*$S$4</f>
        <v>1.2</v>
      </c>
    </row>
    <row r="82" spans="1:17">
      <c r="A82" s="2">
        <v>81</v>
      </c>
      <c r="B82" s="4">
        <f>DAY(G82)</f>
        <v>17</v>
      </c>
      <c r="C82">
        <f>MONTH(G82)</f>
        <v>5</v>
      </c>
      <c r="D82">
        <f>YEAR(G82)</f>
        <v>2023</v>
      </c>
      <c r="E82" t="str">
        <f>TEXT(G82,"DDDD")</f>
        <v>Wednesday</v>
      </c>
      <c r="F82" t="str">
        <f>TEXT(G82,"MMMM")</f>
        <v>May</v>
      </c>
      <c r="G82" s="3">
        <v>45063</v>
      </c>
      <c r="H82" s="4" t="s">
        <v>114</v>
      </c>
      <c r="I82" s="4" t="s">
        <v>4</v>
      </c>
      <c r="J82" s="4" t="str">
        <f>IF(K82&lt;30, "Young Adult","Adult")</f>
        <v>Adult</v>
      </c>
      <c r="K82" s="4">
        <v>40</v>
      </c>
      <c r="L82" s="4" t="s">
        <v>8</v>
      </c>
      <c r="M82" s="4">
        <v>1</v>
      </c>
      <c r="N82" s="5">
        <v>50</v>
      </c>
      <c r="O82">
        <f>(M82*N82)</f>
        <v>50</v>
      </c>
      <c r="P82">
        <f>O82*$S$3</f>
        <v>0.75</v>
      </c>
      <c r="Q82">
        <f>O82*$S$4</f>
        <v>1</v>
      </c>
    </row>
    <row r="83" spans="1:17">
      <c r="A83" s="2">
        <v>82</v>
      </c>
      <c r="B83" s="4">
        <f>DAY(G83)</f>
        <v>26</v>
      </c>
      <c r="C83">
        <f>MONTH(G83)</f>
        <v>12</v>
      </c>
      <c r="D83">
        <f>YEAR(G83)</f>
        <v>2023</v>
      </c>
      <c r="E83" t="str">
        <f>TEXT(G83,"DDDD")</f>
        <v>Tuesday</v>
      </c>
      <c r="F83" t="str">
        <f>TEXT(G83,"MMMM")</f>
        <v>December</v>
      </c>
      <c r="G83" s="3">
        <v>45286</v>
      </c>
      <c r="H83" s="4" t="s">
        <v>115</v>
      </c>
      <c r="I83" s="4" t="s">
        <v>3</v>
      </c>
      <c r="J83" s="4" t="str">
        <f>IF(K83&lt;30, "Young Adult","Adult")</f>
        <v>Adult</v>
      </c>
      <c r="K83" s="4">
        <v>32</v>
      </c>
      <c r="L83" s="4" t="s">
        <v>6</v>
      </c>
      <c r="M83" s="4">
        <v>4</v>
      </c>
      <c r="N83" s="5">
        <v>50</v>
      </c>
      <c r="O83">
        <f>(M83*N83)</f>
        <v>200</v>
      </c>
      <c r="P83">
        <f>O83*$S$3</f>
        <v>3</v>
      </c>
      <c r="Q83">
        <f>O83*$S$4</f>
        <v>4</v>
      </c>
    </row>
    <row r="84" spans="1:17">
      <c r="A84" s="2">
        <v>83</v>
      </c>
      <c r="B84" s="4">
        <f>DAY(G84)</f>
        <v>16</v>
      </c>
      <c r="C84">
        <f>MONTH(G84)</f>
        <v>12</v>
      </c>
      <c r="D84">
        <f>YEAR(G84)</f>
        <v>2023</v>
      </c>
      <c r="E84" t="str">
        <f>TEXT(G84,"DDDD")</f>
        <v>Saturday</v>
      </c>
      <c r="F84" t="str">
        <f>TEXT(G84,"MMMM")</f>
        <v>December</v>
      </c>
      <c r="G84" s="3">
        <v>45276</v>
      </c>
      <c r="H84" s="4" t="s">
        <v>116</v>
      </c>
      <c r="I84" s="4" t="s">
        <v>4</v>
      </c>
      <c r="J84" s="4" t="str" cm="1">
        <f t="array" ref="J84">_xlfn.IFS(K2&gt;=30,"Senior",K2&gt;=30,"Adult",K2&lt;30,"Young Adult")</f>
        <v>Senior</v>
      </c>
      <c r="K84" s="4">
        <v>54</v>
      </c>
      <c r="L84" s="4" t="s">
        <v>8</v>
      </c>
      <c r="M84" s="4">
        <v>2</v>
      </c>
      <c r="N84" s="5">
        <v>50</v>
      </c>
      <c r="O84">
        <f>(M84*N84)</f>
        <v>100</v>
      </c>
      <c r="P84">
        <f>O84*$S$3</f>
        <v>1.5</v>
      </c>
      <c r="Q84">
        <f>O84*$S$4</f>
        <v>2</v>
      </c>
    </row>
    <row r="85" spans="1:17">
      <c r="A85" s="2">
        <v>84</v>
      </c>
      <c r="B85" s="4">
        <f>DAY(G85)</f>
        <v>28</v>
      </c>
      <c r="C85">
        <f>MONTH(G85)</f>
        <v>11</v>
      </c>
      <c r="D85">
        <f>YEAR(G85)</f>
        <v>2023</v>
      </c>
      <c r="E85" t="str">
        <f>TEXT(G85,"DDDD")</f>
        <v>Tuesday</v>
      </c>
      <c r="F85" t="str">
        <f>TEXT(G85,"MMMM")</f>
        <v>November</v>
      </c>
      <c r="G85" s="3">
        <v>45258</v>
      </c>
      <c r="H85" s="4" t="s">
        <v>117</v>
      </c>
      <c r="I85" s="4" t="s">
        <v>3</v>
      </c>
      <c r="J85" s="4" t="str">
        <f>IF(K85&lt;30, "Young Adult","Adult")</f>
        <v>Adult</v>
      </c>
      <c r="K85" s="4">
        <v>38</v>
      </c>
      <c r="L85" s="4" t="s">
        <v>8</v>
      </c>
      <c r="M85" s="4">
        <v>3</v>
      </c>
      <c r="N85" s="5">
        <v>30</v>
      </c>
      <c r="O85">
        <f>(M85*N85)</f>
        <v>90</v>
      </c>
      <c r="P85">
        <f>O85*$S$3</f>
        <v>1.3499999999999999</v>
      </c>
      <c r="Q85">
        <f>O85*$S$4</f>
        <v>1.8</v>
      </c>
    </row>
    <row r="86" spans="1:17">
      <c r="A86" s="2">
        <v>85</v>
      </c>
      <c r="B86" s="4">
        <f>DAY(G86)</f>
        <v>6</v>
      </c>
      <c r="C86">
        <f>MONTH(G86)</f>
        <v>2</v>
      </c>
      <c r="D86">
        <f>YEAR(G86)</f>
        <v>2023</v>
      </c>
      <c r="E86" t="str">
        <f>TEXT(G86,"DDDD")</f>
        <v>Monday</v>
      </c>
      <c r="F86" t="str">
        <f>TEXT(G86,"MMMM")</f>
        <v>February</v>
      </c>
      <c r="G86" s="3">
        <v>44963</v>
      </c>
      <c r="H86" s="4" t="s">
        <v>118</v>
      </c>
      <c r="I86" s="4" t="s">
        <v>4</v>
      </c>
      <c r="J86" s="4" t="str">
        <f>IF(K86&lt;30, "Young Adult","Adult")</f>
        <v>Adult</v>
      </c>
      <c r="K86" s="4">
        <v>31</v>
      </c>
      <c r="L86" s="4" t="s">
        <v>7</v>
      </c>
      <c r="M86" s="4">
        <v>3</v>
      </c>
      <c r="N86" s="5">
        <v>50</v>
      </c>
      <c r="O86">
        <f>(M86*N86)</f>
        <v>150</v>
      </c>
      <c r="P86">
        <f>O86*$S$3</f>
        <v>2.25</v>
      </c>
      <c r="Q86">
        <f>O86*$S$4</f>
        <v>3</v>
      </c>
    </row>
    <row r="87" spans="1:17">
      <c r="A87" s="2">
        <v>86</v>
      </c>
      <c r="B87" s="4">
        <f>DAY(G87)</f>
        <v>8</v>
      </c>
      <c r="C87">
        <f>MONTH(G87)</f>
        <v>11</v>
      </c>
      <c r="D87">
        <f>YEAR(G87)</f>
        <v>2023</v>
      </c>
      <c r="E87" t="str">
        <f>TEXT(G87,"DDDD")</f>
        <v>Wednesday</v>
      </c>
      <c r="F87" t="str">
        <f>TEXT(G87,"MMMM")</f>
        <v>November</v>
      </c>
      <c r="G87" s="3">
        <v>45238</v>
      </c>
      <c r="H87" s="4" t="s">
        <v>119</v>
      </c>
      <c r="I87" s="4" t="s">
        <v>4</v>
      </c>
      <c r="J87" s="4" t="str">
        <f>IF(K87&lt;30, "Young Adult","Adult")</f>
        <v>Young Adult</v>
      </c>
      <c r="K87" s="4">
        <v>19</v>
      </c>
      <c r="L87" s="4" t="s">
        <v>6</v>
      </c>
      <c r="M87" s="4">
        <v>3</v>
      </c>
      <c r="N87" s="5">
        <v>30</v>
      </c>
      <c r="O87">
        <f>(M87*N87)</f>
        <v>90</v>
      </c>
      <c r="P87">
        <f>O87*$S$3</f>
        <v>1.3499999999999999</v>
      </c>
      <c r="Q87">
        <f>O87*$S$4</f>
        <v>1.8</v>
      </c>
    </row>
    <row r="88" spans="1:17">
      <c r="A88" s="2">
        <v>87</v>
      </c>
      <c r="B88" s="4">
        <f>DAY(G88)</f>
        <v>22</v>
      </c>
      <c r="C88">
        <f>MONTH(G88)</f>
        <v>11</v>
      </c>
      <c r="D88">
        <f>YEAR(G88)</f>
        <v>2023</v>
      </c>
      <c r="E88" t="str">
        <f>TEXT(G88,"DDDD")</f>
        <v>Wednesday</v>
      </c>
      <c r="F88" t="str">
        <f>TEXT(G88,"MMMM")</f>
        <v>November</v>
      </c>
      <c r="G88" s="3">
        <v>45252</v>
      </c>
      <c r="H88" s="4" t="s">
        <v>120</v>
      </c>
      <c r="I88" s="4" t="s">
        <v>3</v>
      </c>
      <c r="J88" s="4" t="str">
        <f>IF(K88&lt;30, "Young Adult","Adult")</f>
        <v>Young Adult</v>
      </c>
      <c r="K88" s="4">
        <v>28</v>
      </c>
      <c r="L88" s="4" t="s">
        <v>6</v>
      </c>
      <c r="M88" s="4">
        <v>2</v>
      </c>
      <c r="N88" s="5">
        <v>50</v>
      </c>
      <c r="O88">
        <f>(M88*N88)</f>
        <v>100</v>
      </c>
      <c r="P88">
        <f>O88*$S$3</f>
        <v>1.5</v>
      </c>
      <c r="Q88">
        <f>O88*$S$4</f>
        <v>2</v>
      </c>
    </row>
    <row r="89" spans="1:17">
      <c r="A89" s="2">
        <v>88</v>
      </c>
      <c r="B89" s="4">
        <f>DAY(G89)</f>
        <v>29</v>
      </c>
      <c r="C89">
        <f>MONTH(G89)</f>
        <v>3</v>
      </c>
      <c r="D89">
        <f>YEAR(G89)</f>
        <v>2023</v>
      </c>
      <c r="E89" t="str">
        <f>TEXT(G89,"DDDD")</f>
        <v>Wednesday</v>
      </c>
      <c r="F89" t="str">
        <f>TEXT(G89,"MMMM")</f>
        <v>March</v>
      </c>
      <c r="G89" s="3">
        <v>45014</v>
      </c>
      <c r="H89" s="4" t="s">
        <v>121</v>
      </c>
      <c r="I89" s="4" t="s">
        <v>4</v>
      </c>
      <c r="J89" s="4" t="str" cm="1">
        <f t="array" ref="J89">_xlfn.IFS(K2&gt;=30,"Senior",K2&gt;=30,"Adult",K2&lt;30,"Young Adult")</f>
        <v>Senior</v>
      </c>
      <c r="K89" s="4">
        <v>56</v>
      </c>
      <c r="L89" s="4" t="s">
        <v>7</v>
      </c>
      <c r="M89" s="4">
        <v>1</v>
      </c>
      <c r="N89" s="5">
        <v>500</v>
      </c>
      <c r="O89">
        <f>(M89*N89)</f>
        <v>500</v>
      </c>
      <c r="P89">
        <f>O89*$S$3</f>
        <v>7.5</v>
      </c>
      <c r="Q89">
        <f>O89*$S$4</f>
        <v>10</v>
      </c>
    </row>
    <row r="90" spans="1:17">
      <c r="A90" s="2">
        <v>89</v>
      </c>
      <c r="B90" s="4">
        <f>DAY(G90)</f>
        <v>1</v>
      </c>
      <c r="C90">
        <f>MONTH(G90)</f>
        <v>10</v>
      </c>
      <c r="D90">
        <f>YEAR(G90)</f>
        <v>2023</v>
      </c>
      <c r="E90" t="str">
        <f>TEXT(G90,"DDDD")</f>
        <v>Sunday</v>
      </c>
      <c r="F90" t="str">
        <f>TEXT(G90,"MMMM")</f>
        <v>October</v>
      </c>
      <c r="G90" s="3">
        <v>45200</v>
      </c>
      <c r="H90" s="4" t="s">
        <v>122</v>
      </c>
      <c r="I90" s="4" t="s">
        <v>3</v>
      </c>
      <c r="J90" s="4" t="str" cm="1">
        <f t="array" ref="J90">_xlfn.IFS(K2&gt;=30,"Senior",K2&gt;=30,"Adult",K2&lt;30,"Young Adult")</f>
        <v>Senior</v>
      </c>
      <c r="K90" s="4">
        <v>55</v>
      </c>
      <c r="L90" s="4" t="s">
        <v>8</v>
      </c>
      <c r="M90" s="4">
        <v>4</v>
      </c>
      <c r="N90" s="5">
        <v>500</v>
      </c>
      <c r="O90">
        <f>(M90*N90)</f>
        <v>2000</v>
      </c>
      <c r="P90">
        <f>O90*$S$3</f>
        <v>30</v>
      </c>
      <c r="Q90">
        <f>O90*$S$4</f>
        <v>40</v>
      </c>
    </row>
    <row r="91" spans="1:17">
      <c r="A91" s="2">
        <v>90</v>
      </c>
      <c r="B91" s="4">
        <f>DAY(G91)</f>
        <v>6</v>
      </c>
      <c r="C91">
        <f>MONTH(G91)</f>
        <v>5</v>
      </c>
      <c r="D91">
        <f>YEAR(G91)</f>
        <v>2023</v>
      </c>
      <c r="E91" t="str">
        <f>TEXT(G91,"DDDD")</f>
        <v>Saturday</v>
      </c>
      <c r="F91" t="str">
        <f>TEXT(G91,"MMMM")</f>
        <v>May</v>
      </c>
      <c r="G91" s="3">
        <v>45052</v>
      </c>
      <c r="H91" s="4" t="s">
        <v>123</v>
      </c>
      <c r="I91" s="4" t="s">
        <v>3</v>
      </c>
      <c r="J91" s="4" t="str" cm="1">
        <f t="array" ref="J91">_xlfn.IFS(K2&gt;=30,"Senior",K2&gt;=30,"Adult",K2&lt;30,"Young Adult")</f>
        <v>Senior</v>
      </c>
      <c r="K91" s="4">
        <v>51</v>
      </c>
      <c r="L91" s="4" t="s">
        <v>8</v>
      </c>
      <c r="M91" s="4">
        <v>1</v>
      </c>
      <c r="N91" s="5">
        <v>30</v>
      </c>
      <c r="O91">
        <f>(M91*N91)</f>
        <v>30</v>
      </c>
      <c r="P91">
        <f>O91*$S$3</f>
        <v>0.44999999999999996</v>
      </c>
      <c r="Q91">
        <f>O91*$S$4</f>
        <v>0.6</v>
      </c>
    </row>
    <row r="92" spans="1:17">
      <c r="A92" s="2">
        <v>91</v>
      </c>
      <c r="B92" s="4">
        <f>DAY(G92)</f>
        <v>25</v>
      </c>
      <c r="C92">
        <f>MONTH(G92)</f>
        <v>3</v>
      </c>
      <c r="D92">
        <f>YEAR(G92)</f>
        <v>2023</v>
      </c>
      <c r="E92" t="str">
        <f>TEXT(G92,"DDDD")</f>
        <v>Saturday</v>
      </c>
      <c r="F92" t="str">
        <f>TEXT(G92,"MMMM")</f>
        <v>March</v>
      </c>
      <c r="G92" s="3">
        <v>45010</v>
      </c>
      <c r="H92" s="4" t="s">
        <v>124</v>
      </c>
      <c r="I92" s="4" t="s">
        <v>3</v>
      </c>
      <c r="J92" s="4" t="str" cm="1">
        <f t="array" ref="J92">_xlfn.IFS(K2&gt;=30,"Senior",K2&gt;=30,"Adult",K2&lt;30,"Young Adult")</f>
        <v>Senior</v>
      </c>
      <c r="K92" s="4">
        <v>55</v>
      </c>
      <c r="L92" s="4" t="s">
        <v>8</v>
      </c>
      <c r="M92" s="4">
        <v>1</v>
      </c>
      <c r="N92" s="5">
        <v>500</v>
      </c>
      <c r="O92">
        <f>(M92*N92)</f>
        <v>500</v>
      </c>
      <c r="P92">
        <f>O92*$S$3</f>
        <v>7.5</v>
      </c>
      <c r="Q92">
        <f>O92*$S$4</f>
        <v>10</v>
      </c>
    </row>
    <row r="93" spans="1:17">
      <c r="A93" s="2">
        <v>92</v>
      </c>
      <c r="B93" s="4">
        <f>DAY(G93)</f>
        <v>25</v>
      </c>
      <c r="C93">
        <f>MONTH(G93)</f>
        <v>8</v>
      </c>
      <c r="D93">
        <f>YEAR(G93)</f>
        <v>2023</v>
      </c>
      <c r="E93" t="str">
        <f>TEXT(G93,"DDDD")</f>
        <v>Friday</v>
      </c>
      <c r="F93" t="str">
        <f>TEXT(G93,"MMMM")</f>
        <v>August</v>
      </c>
      <c r="G93" s="3">
        <v>45163</v>
      </c>
      <c r="H93" s="4" t="s">
        <v>125</v>
      </c>
      <c r="I93" s="4" t="s">
        <v>3</v>
      </c>
      <c r="J93" s="4" t="str" cm="1">
        <f t="array" ref="J93">_xlfn.IFS(K2&gt;=30,"Senior",K2&gt;=30,"Adult",K2&lt;30,"Young Adult")</f>
        <v>Senior</v>
      </c>
      <c r="K93" s="4">
        <v>51</v>
      </c>
      <c r="L93" s="4" t="s">
        <v>8</v>
      </c>
      <c r="M93" s="4">
        <v>4</v>
      </c>
      <c r="N93" s="5">
        <v>30</v>
      </c>
      <c r="O93">
        <f>(M93*N93)</f>
        <v>120</v>
      </c>
      <c r="P93">
        <f>O93*$S$3</f>
        <v>1.7999999999999998</v>
      </c>
      <c r="Q93">
        <f>O93*$S$4</f>
        <v>2.4</v>
      </c>
    </row>
    <row r="94" spans="1:17">
      <c r="A94" s="2">
        <v>93</v>
      </c>
      <c r="B94" s="4">
        <f>DAY(G94)</f>
        <v>14</v>
      </c>
      <c r="C94">
        <f>MONTH(G94)</f>
        <v>7</v>
      </c>
      <c r="D94">
        <f>YEAR(G94)</f>
        <v>2023</v>
      </c>
      <c r="E94" t="str">
        <f>TEXT(G94,"DDDD")</f>
        <v>Friday</v>
      </c>
      <c r="F94" t="str">
        <f>TEXT(G94,"MMMM")</f>
        <v>July</v>
      </c>
      <c r="G94" s="3">
        <v>45121</v>
      </c>
      <c r="H94" s="4" t="s">
        <v>126</v>
      </c>
      <c r="I94" s="4" t="s">
        <v>3</v>
      </c>
      <c r="J94" s="4" t="str">
        <f>IF(K94&lt;30, "Young Adult","Adult")</f>
        <v>Adult</v>
      </c>
      <c r="K94" s="4">
        <v>35</v>
      </c>
      <c r="L94" s="4" t="s">
        <v>6</v>
      </c>
      <c r="M94" s="4">
        <v>4</v>
      </c>
      <c r="N94" s="5">
        <v>500</v>
      </c>
      <c r="O94">
        <f>(M94*N94)</f>
        <v>2000</v>
      </c>
      <c r="P94">
        <f>O94*$S$3</f>
        <v>30</v>
      </c>
      <c r="Q94">
        <f>O94*$S$4</f>
        <v>40</v>
      </c>
    </row>
    <row r="95" spans="1:17">
      <c r="A95" s="2">
        <v>94</v>
      </c>
      <c r="B95" s="4">
        <f>DAY(G95)</f>
        <v>19</v>
      </c>
      <c r="C95">
        <f>MONTH(G95)</f>
        <v>5</v>
      </c>
      <c r="D95">
        <f>YEAR(G95)</f>
        <v>2023</v>
      </c>
      <c r="E95" t="str">
        <f>TEXT(G95,"DDDD")</f>
        <v>Friday</v>
      </c>
      <c r="F95" t="str">
        <f>TEXT(G95,"MMMM")</f>
        <v>May</v>
      </c>
      <c r="G95" s="3">
        <v>45065</v>
      </c>
      <c r="H95" s="4" t="s">
        <v>127</v>
      </c>
      <c r="I95" s="4" t="s">
        <v>3</v>
      </c>
      <c r="J95" s="4" t="str">
        <f>IF(K95&lt;30, "Young Adult","Adult")</f>
        <v>Adult</v>
      </c>
      <c r="K95" s="4">
        <v>47</v>
      </c>
      <c r="L95" s="4" t="s">
        <v>6</v>
      </c>
      <c r="M95" s="4">
        <v>2</v>
      </c>
      <c r="N95" s="5">
        <v>500</v>
      </c>
      <c r="O95">
        <f>(M95*N95)</f>
        <v>1000</v>
      </c>
      <c r="P95">
        <f>O95*$S$3</f>
        <v>15</v>
      </c>
      <c r="Q95">
        <f>O95*$S$4</f>
        <v>20</v>
      </c>
    </row>
    <row r="96" spans="1:17">
      <c r="A96" s="2">
        <v>95</v>
      </c>
      <c r="B96" s="4">
        <f>DAY(G96)</f>
        <v>24</v>
      </c>
      <c r="C96">
        <f>MONTH(G96)</f>
        <v>11</v>
      </c>
      <c r="D96">
        <f>YEAR(G96)</f>
        <v>2023</v>
      </c>
      <c r="E96" t="str">
        <f>TEXT(G96,"DDDD")</f>
        <v>Friday</v>
      </c>
      <c r="F96" t="str">
        <f>TEXT(G96,"MMMM")</f>
        <v>November</v>
      </c>
      <c r="G96" s="3">
        <v>45254</v>
      </c>
      <c r="H96" s="4" t="s">
        <v>128</v>
      </c>
      <c r="I96" s="4" t="s">
        <v>3</v>
      </c>
      <c r="J96" s="4" t="str">
        <f>IF(K96&lt;30, "Young Adult","Adult")</f>
        <v>Adult</v>
      </c>
      <c r="K96" s="4">
        <v>32</v>
      </c>
      <c r="L96" s="4" t="s">
        <v>7</v>
      </c>
      <c r="M96" s="4">
        <v>2</v>
      </c>
      <c r="N96" s="5">
        <v>30</v>
      </c>
      <c r="O96">
        <f>(M96*N96)</f>
        <v>60</v>
      </c>
      <c r="P96">
        <f>O96*$S$3</f>
        <v>0.89999999999999991</v>
      </c>
      <c r="Q96">
        <f>O96*$S$4</f>
        <v>1.2</v>
      </c>
    </row>
    <row r="97" spans="1:17">
      <c r="A97" s="2">
        <v>96</v>
      </c>
      <c r="B97" s="4">
        <f>DAY(G97)</f>
        <v>19</v>
      </c>
      <c r="C97">
        <f>MONTH(G97)</f>
        <v>12</v>
      </c>
      <c r="D97">
        <f>YEAR(G97)</f>
        <v>2023</v>
      </c>
      <c r="E97" t="str">
        <f>TEXT(G97,"DDDD")</f>
        <v>Tuesday</v>
      </c>
      <c r="F97" t="str">
        <f>TEXT(G97,"MMMM")</f>
        <v>December</v>
      </c>
      <c r="G97" s="3">
        <v>45279</v>
      </c>
      <c r="H97" s="4" t="s">
        <v>129</v>
      </c>
      <c r="I97" s="4" t="s">
        <v>3</v>
      </c>
      <c r="J97" s="4" t="str">
        <f>IF(K97&lt;30, "Young Adult","Adult")</f>
        <v>Adult</v>
      </c>
      <c r="K97" s="4">
        <v>44</v>
      </c>
      <c r="L97" s="4" t="s">
        <v>7</v>
      </c>
      <c r="M97" s="4">
        <v>2</v>
      </c>
      <c r="N97" s="5">
        <v>300</v>
      </c>
      <c r="O97">
        <f>(M97*N97)</f>
        <v>600</v>
      </c>
      <c r="P97">
        <f>O97*$S$3</f>
        <v>9</v>
      </c>
      <c r="Q97">
        <f>O97*$S$4</f>
        <v>12</v>
      </c>
    </row>
    <row r="98" spans="1:17">
      <c r="A98" s="2">
        <v>97</v>
      </c>
      <c r="B98" s="4">
        <f>DAY(G98)</f>
        <v>13</v>
      </c>
      <c r="C98">
        <f>MONTH(G98)</f>
        <v>10</v>
      </c>
      <c r="D98">
        <f>YEAR(G98)</f>
        <v>2023</v>
      </c>
      <c r="E98" t="str">
        <f>TEXT(G98,"DDDD")</f>
        <v>Friday</v>
      </c>
      <c r="F98" t="str">
        <f>TEXT(G98,"MMMM")</f>
        <v>October</v>
      </c>
      <c r="G98" s="3">
        <v>45212</v>
      </c>
      <c r="H98" s="4" t="s">
        <v>130</v>
      </c>
      <c r="I98" s="4" t="s">
        <v>3</v>
      </c>
      <c r="J98" s="4" t="str" cm="1">
        <f t="array" ref="J98">_xlfn.IFS(K2&gt;=30,"Senior",K2&gt;=30,"Adult",K2&lt;30,"Young Adult")</f>
        <v>Senior</v>
      </c>
      <c r="K98" s="4">
        <v>51</v>
      </c>
      <c r="L98" s="4" t="s">
        <v>6</v>
      </c>
      <c r="M98" s="4">
        <v>2</v>
      </c>
      <c r="N98" s="5">
        <v>500</v>
      </c>
      <c r="O98">
        <f>(M98*N98)</f>
        <v>1000</v>
      </c>
      <c r="P98">
        <f>O98*$S$3</f>
        <v>15</v>
      </c>
      <c r="Q98">
        <f>O98*$S$4</f>
        <v>20</v>
      </c>
    </row>
    <row r="99" spans="1:17">
      <c r="A99" s="2">
        <v>98</v>
      </c>
      <c r="B99" s="4">
        <f>DAY(G99)</f>
        <v>23</v>
      </c>
      <c r="C99">
        <f>MONTH(G99)</f>
        <v>4</v>
      </c>
      <c r="D99">
        <f>YEAR(G99)</f>
        <v>2023</v>
      </c>
      <c r="E99" t="str">
        <f>TEXT(G99,"DDDD")</f>
        <v>Sunday</v>
      </c>
      <c r="F99" t="str">
        <f>TEXT(G99,"MMMM")</f>
        <v>April</v>
      </c>
      <c r="G99" s="3">
        <v>45039</v>
      </c>
      <c r="H99" s="4" t="s">
        <v>131</v>
      </c>
      <c r="I99" s="4" t="s">
        <v>3</v>
      </c>
      <c r="J99" s="4" t="str" cm="1">
        <f t="array" ref="J99">_xlfn.IFS(K2&gt;=30,"Senior",K2&gt;=30,"Adult",K2&lt;30,"Young Adult")</f>
        <v>Senior</v>
      </c>
      <c r="K99" s="4">
        <v>55</v>
      </c>
      <c r="L99" s="4" t="s">
        <v>6</v>
      </c>
      <c r="M99" s="4">
        <v>2</v>
      </c>
      <c r="N99" s="5">
        <v>50</v>
      </c>
      <c r="O99">
        <f>(M99*N99)</f>
        <v>100</v>
      </c>
      <c r="P99">
        <f>O99*$S$3</f>
        <v>1.5</v>
      </c>
      <c r="Q99">
        <f>O99*$S$4</f>
        <v>2</v>
      </c>
    </row>
    <row r="100" spans="1:17">
      <c r="A100" s="2">
        <v>99</v>
      </c>
      <c r="B100" s="4">
        <f>DAY(G100)</f>
        <v>17</v>
      </c>
      <c r="C100">
        <f>MONTH(G100)</f>
        <v>12</v>
      </c>
      <c r="D100">
        <f>YEAR(G100)</f>
        <v>2023</v>
      </c>
      <c r="E100" t="str">
        <f>TEXT(G100,"DDDD")</f>
        <v>Sunday</v>
      </c>
      <c r="F100" t="str">
        <f>TEXT(G100,"MMMM")</f>
        <v>December</v>
      </c>
      <c r="G100" s="3">
        <v>45277</v>
      </c>
      <c r="H100" s="4" t="s">
        <v>132</v>
      </c>
      <c r="I100" s="4" t="s">
        <v>3</v>
      </c>
      <c r="J100" s="4" t="str" cm="1">
        <f t="array" ref="J100">_xlfn.IFS(K2&gt;=30,"Senior",K2&gt;=30,"Adult",K2&lt;30,"Young Adult")</f>
        <v>Senior</v>
      </c>
      <c r="K100" s="4">
        <v>50</v>
      </c>
      <c r="L100" s="4" t="s">
        <v>8</v>
      </c>
      <c r="M100" s="4">
        <v>4</v>
      </c>
      <c r="N100" s="5">
        <v>300</v>
      </c>
      <c r="O100">
        <f>(M100*N100)</f>
        <v>1200</v>
      </c>
      <c r="P100">
        <f>O100*$S$3</f>
        <v>18</v>
      </c>
      <c r="Q100">
        <f>O100*$S$4</f>
        <v>24</v>
      </c>
    </row>
    <row r="101" spans="1:17">
      <c r="A101" s="2">
        <v>100</v>
      </c>
      <c r="B101" s="4">
        <f>DAY(G101)</f>
        <v>16</v>
      </c>
      <c r="C101">
        <f>MONTH(G101)</f>
        <v>6</v>
      </c>
      <c r="D101">
        <f>YEAR(G101)</f>
        <v>2023</v>
      </c>
      <c r="E101" t="str">
        <f>TEXT(G101,"DDDD")</f>
        <v>Friday</v>
      </c>
      <c r="F101" t="str">
        <f>TEXT(G101,"MMMM")</f>
        <v>June</v>
      </c>
      <c r="G101" s="3">
        <v>45093</v>
      </c>
      <c r="H101" s="4" t="s">
        <v>133</v>
      </c>
      <c r="I101" s="4" t="s">
        <v>4</v>
      </c>
      <c r="J101" s="4" t="str">
        <f>IF(K101&lt;30, "Young Adult","Adult")</f>
        <v>Adult</v>
      </c>
      <c r="K101" s="4">
        <v>41</v>
      </c>
      <c r="L101" s="4" t="s">
        <v>8</v>
      </c>
      <c r="M101" s="4">
        <v>1</v>
      </c>
      <c r="N101" s="5">
        <v>30</v>
      </c>
      <c r="O101">
        <f>(M101*N101)</f>
        <v>30</v>
      </c>
      <c r="P101">
        <f>O101*$S$3</f>
        <v>0.44999999999999996</v>
      </c>
      <c r="Q101">
        <f>O101*$S$4</f>
        <v>0.6</v>
      </c>
    </row>
    <row r="102" spans="1:17">
      <c r="A102" s="2">
        <v>101</v>
      </c>
      <c r="B102" s="4">
        <f>DAY(G102)</f>
        <v>29</v>
      </c>
      <c r="C102">
        <f>MONTH(G102)</f>
        <v>1</v>
      </c>
      <c r="D102">
        <f>YEAR(G102)</f>
        <v>2023</v>
      </c>
      <c r="E102" t="str">
        <f>TEXT(G102,"DDDD")</f>
        <v>Sunday</v>
      </c>
      <c r="F102" t="str">
        <f>TEXT(G102,"MMMM")</f>
        <v>January</v>
      </c>
      <c r="G102" s="3">
        <v>44955</v>
      </c>
      <c r="H102" s="4" t="s">
        <v>134</v>
      </c>
      <c r="I102" s="4" t="s">
        <v>4</v>
      </c>
      <c r="J102" s="4" t="str">
        <f>IF(K102&lt;30, "Young Adult","Adult")</f>
        <v>Adult</v>
      </c>
      <c r="K102" s="4">
        <v>32</v>
      </c>
      <c r="L102" s="4" t="s">
        <v>7</v>
      </c>
      <c r="M102" s="4">
        <v>2</v>
      </c>
      <c r="N102" s="5">
        <v>300</v>
      </c>
      <c r="O102">
        <f>(M102*N102)</f>
        <v>600</v>
      </c>
      <c r="P102">
        <f>O102*$S$3</f>
        <v>9</v>
      </c>
      <c r="Q102">
        <f>O102*$S$4</f>
        <v>12</v>
      </c>
    </row>
    <row r="103" spans="1:17">
      <c r="A103" s="2">
        <v>102</v>
      </c>
      <c r="B103" s="4">
        <f>DAY(G103)</f>
        <v>28</v>
      </c>
      <c r="C103">
        <f>MONTH(G103)</f>
        <v>4</v>
      </c>
      <c r="D103">
        <f>YEAR(G103)</f>
        <v>2023</v>
      </c>
      <c r="E103" t="str">
        <f>TEXT(G103,"DDDD")</f>
        <v>Friday</v>
      </c>
      <c r="F103" t="str">
        <f>TEXT(G103,"MMMM")</f>
        <v>April</v>
      </c>
      <c r="G103" s="3">
        <v>45044</v>
      </c>
      <c r="H103" s="4" t="s">
        <v>135</v>
      </c>
      <c r="I103" s="4" t="s">
        <v>3</v>
      </c>
      <c r="J103" s="4" t="str">
        <f>IF(K103&lt;30, "Young Adult","Adult")</f>
        <v>Adult</v>
      </c>
      <c r="K103" s="4">
        <v>47</v>
      </c>
      <c r="L103" s="4" t="s">
        <v>6</v>
      </c>
      <c r="M103" s="4">
        <v>2</v>
      </c>
      <c r="N103" s="5">
        <v>25</v>
      </c>
      <c r="O103">
        <f>(M103*N103)</f>
        <v>50</v>
      </c>
      <c r="P103">
        <f>O103*$S$3</f>
        <v>0.75</v>
      </c>
      <c r="Q103">
        <f>O103*$S$4</f>
        <v>1</v>
      </c>
    </row>
    <row r="104" spans="1:17">
      <c r="A104" s="2">
        <v>103</v>
      </c>
      <c r="B104" s="4">
        <f>DAY(G104)</f>
        <v>17</v>
      </c>
      <c r="C104">
        <f>MONTH(G104)</f>
        <v>1</v>
      </c>
      <c r="D104">
        <f>YEAR(G104)</f>
        <v>2023</v>
      </c>
      <c r="E104" t="str">
        <f>TEXT(G104,"DDDD")</f>
        <v>Tuesday</v>
      </c>
      <c r="F104" t="str">
        <f>TEXT(G104,"MMMM")</f>
        <v>January</v>
      </c>
      <c r="G104" s="3">
        <v>44943</v>
      </c>
      <c r="H104" s="4" t="s">
        <v>136</v>
      </c>
      <c r="I104" s="4" t="s">
        <v>3</v>
      </c>
      <c r="J104" s="4" t="str" cm="1">
        <f t="array" ref="J104">_xlfn.IFS(K2&gt;=30,"Senior",K2&gt;=30,"Adult",K2&lt;30,"Young Adult")</f>
        <v>Senior</v>
      </c>
      <c r="K104" s="4">
        <v>59</v>
      </c>
      <c r="L104" s="4" t="s">
        <v>7</v>
      </c>
      <c r="M104" s="4">
        <v>1</v>
      </c>
      <c r="N104" s="5">
        <v>25</v>
      </c>
      <c r="O104">
        <f>(M104*N104)</f>
        <v>25</v>
      </c>
      <c r="P104">
        <f>O104*$S$3</f>
        <v>0.375</v>
      </c>
      <c r="Q104">
        <f>O104*$S$4</f>
        <v>0.5</v>
      </c>
    </row>
    <row r="105" spans="1:17">
      <c r="A105" s="2">
        <v>104</v>
      </c>
      <c r="B105" s="4">
        <f>DAY(G105)</f>
        <v>11</v>
      </c>
      <c r="C105">
        <f>MONTH(G105)</f>
        <v>6</v>
      </c>
      <c r="D105">
        <f>YEAR(G105)</f>
        <v>2023</v>
      </c>
      <c r="E105" t="str">
        <f>TEXT(G105,"DDDD")</f>
        <v>Sunday</v>
      </c>
      <c r="F105" t="str">
        <f>TEXT(G105,"MMMM")</f>
        <v>June</v>
      </c>
      <c r="G105" s="3">
        <v>45088</v>
      </c>
      <c r="H105" s="4" t="s">
        <v>137</v>
      </c>
      <c r="I105" s="4" t="s">
        <v>3</v>
      </c>
      <c r="J105" s="4" t="str">
        <f>IF(K105&lt;30, "Young Adult","Adult")</f>
        <v>Adult</v>
      </c>
      <c r="K105" s="4">
        <v>34</v>
      </c>
      <c r="L105" s="4" t="s">
        <v>6</v>
      </c>
      <c r="M105" s="4">
        <v>2</v>
      </c>
      <c r="N105" s="5">
        <v>500</v>
      </c>
      <c r="O105">
        <f>(M105*N105)</f>
        <v>1000</v>
      </c>
      <c r="P105">
        <f>O105*$S$3</f>
        <v>15</v>
      </c>
      <c r="Q105">
        <f>O105*$S$4</f>
        <v>20</v>
      </c>
    </row>
    <row r="106" spans="1:17">
      <c r="A106" s="2">
        <v>105</v>
      </c>
      <c r="B106" s="4">
        <f>DAY(G106)</f>
        <v>25</v>
      </c>
      <c r="C106">
        <f>MONTH(G106)</f>
        <v>7</v>
      </c>
      <c r="D106">
        <f>YEAR(G106)</f>
        <v>2023</v>
      </c>
      <c r="E106" t="str">
        <f>TEXT(G106,"DDDD")</f>
        <v>Tuesday</v>
      </c>
      <c r="F106" t="str">
        <f>TEXT(G106,"MMMM")</f>
        <v>July</v>
      </c>
      <c r="G106" s="3">
        <v>45132</v>
      </c>
      <c r="H106" s="4" t="s">
        <v>138</v>
      </c>
      <c r="I106" s="4" t="s">
        <v>3</v>
      </c>
      <c r="J106" s="4" t="str">
        <f>IF(K106&lt;30, "Young Adult","Adult")</f>
        <v>Young Adult</v>
      </c>
      <c r="K106" s="4">
        <v>22</v>
      </c>
      <c r="L106" s="4" t="s">
        <v>8</v>
      </c>
      <c r="M106" s="4">
        <v>1</v>
      </c>
      <c r="N106" s="5">
        <v>500</v>
      </c>
      <c r="O106">
        <f>(M106*N106)</f>
        <v>500</v>
      </c>
      <c r="P106">
        <f>O106*$S$3</f>
        <v>7.5</v>
      </c>
      <c r="Q106">
        <f>O106*$S$4</f>
        <v>10</v>
      </c>
    </row>
    <row r="107" spans="1:17">
      <c r="A107" s="2">
        <v>106</v>
      </c>
      <c r="B107" s="4">
        <f>DAY(G107)</f>
        <v>18</v>
      </c>
      <c r="C107">
        <f>MONTH(G107)</f>
        <v>5</v>
      </c>
      <c r="D107">
        <f>YEAR(G107)</f>
        <v>2023</v>
      </c>
      <c r="E107" t="str">
        <f>TEXT(G107,"DDDD")</f>
        <v>Thursday</v>
      </c>
      <c r="F107" t="str">
        <f>TEXT(G107,"MMMM")</f>
        <v>May</v>
      </c>
      <c r="G107" s="3">
        <v>45064</v>
      </c>
      <c r="H107" s="4" t="s">
        <v>139</v>
      </c>
      <c r="I107" s="4" t="s">
        <v>3</v>
      </c>
      <c r="J107" s="4" t="str">
        <f>IF(K107&lt;30, "Young Adult","Adult")</f>
        <v>Adult</v>
      </c>
      <c r="K107" s="4">
        <v>46</v>
      </c>
      <c r="L107" s="4" t="s">
        <v>7</v>
      </c>
      <c r="M107" s="4">
        <v>1</v>
      </c>
      <c r="N107" s="5">
        <v>50</v>
      </c>
      <c r="O107">
        <f>(M107*N107)</f>
        <v>50</v>
      </c>
      <c r="P107">
        <f>O107*$S$3</f>
        <v>0.75</v>
      </c>
      <c r="Q107">
        <f>O107*$S$4</f>
        <v>1</v>
      </c>
    </row>
    <row r="108" spans="1:17">
      <c r="A108" s="2">
        <v>107</v>
      </c>
      <c r="B108" s="4">
        <f>DAY(G108)</f>
        <v>3</v>
      </c>
      <c r="C108">
        <f>MONTH(G108)</f>
        <v>2</v>
      </c>
      <c r="D108">
        <f>YEAR(G108)</f>
        <v>2023</v>
      </c>
      <c r="E108" t="str">
        <f>TEXT(G108,"DDDD")</f>
        <v>Friday</v>
      </c>
      <c r="F108" t="str">
        <f>TEXT(G108,"MMMM")</f>
        <v>February</v>
      </c>
      <c r="G108" s="3">
        <v>44960</v>
      </c>
      <c r="H108" s="4" t="s">
        <v>140</v>
      </c>
      <c r="I108" s="4" t="s">
        <v>3</v>
      </c>
      <c r="J108" s="4" t="str">
        <f>IF(K108&lt;30, "Young Adult","Adult")</f>
        <v>Young Adult</v>
      </c>
      <c r="K108" s="4">
        <v>21</v>
      </c>
      <c r="L108" s="4" t="s">
        <v>7</v>
      </c>
      <c r="M108" s="4">
        <v>4</v>
      </c>
      <c r="N108" s="5">
        <v>300</v>
      </c>
      <c r="O108">
        <f>(M108*N108)</f>
        <v>1200</v>
      </c>
      <c r="P108">
        <f>O108*$S$3</f>
        <v>18</v>
      </c>
      <c r="Q108">
        <f>O108*$S$4</f>
        <v>24</v>
      </c>
    </row>
    <row r="109" spans="1:17">
      <c r="A109" s="2">
        <v>108</v>
      </c>
      <c r="B109" s="4">
        <f>DAY(G109)</f>
        <v>19</v>
      </c>
      <c r="C109">
        <f>MONTH(G109)</f>
        <v>4</v>
      </c>
      <c r="D109">
        <f>YEAR(G109)</f>
        <v>2023</v>
      </c>
      <c r="E109" t="str">
        <f>TEXT(G109,"DDDD")</f>
        <v>Wednesday</v>
      </c>
      <c r="F109" t="str">
        <f>TEXT(G109,"MMMM")</f>
        <v>April</v>
      </c>
      <c r="G109" s="3">
        <v>45035</v>
      </c>
      <c r="H109" s="4" t="s">
        <v>141</v>
      </c>
      <c r="I109" s="4" t="s">
        <v>3</v>
      </c>
      <c r="J109" s="4" t="str">
        <f>IF(K109&lt;30, "Young Adult","Adult")</f>
        <v>Young Adult</v>
      </c>
      <c r="K109" s="4">
        <v>27</v>
      </c>
      <c r="L109" s="4" t="s">
        <v>6</v>
      </c>
      <c r="M109" s="4">
        <v>3</v>
      </c>
      <c r="N109" s="5">
        <v>25</v>
      </c>
      <c r="O109">
        <f>(M109*N109)</f>
        <v>75</v>
      </c>
      <c r="P109">
        <f>O109*$S$3</f>
        <v>1.125</v>
      </c>
      <c r="Q109">
        <f>O109*$S$4</f>
        <v>1.5</v>
      </c>
    </row>
    <row r="110" spans="1:17">
      <c r="A110" s="2">
        <v>109</v>
      </c>
      <c r="B110" s="4">
        <f>DAY(G110)</f>
        <v>18</v>
      </c>
      <c r="C110">
        <f>MONTH(G110)</f>
        <v>10</v>
      </c>
      <c r="D110">
        <f>YEAR(G110)</f>
        <v>2023</v>
      </c>
      <c r="E110" t="str">
        <f>TEXT(G110,"DDDD")</f>
        <v>Wednesday</v>
      </c>
      <c r="F110" t="str">
        <f>TEXT(G110,"MMMM")</f>
        <v>October</v>
      </c>
      <c r="G110" s="3">
        <v>45217</v>
      </c>
      <c r="H110" s="4" t="s">
        <v>142</v>
      </c>
      <c r="I110" s="4" t="s">
        <v>3</v>
      </c>
      <c r="J110" s="4" t="str">
        <f>IF(K110&lt;30, "Young Adult","Adult")</f>
        <v>Adult</v>
      </c>
      <c r="K110" s="4">
        <v>34</v>
      </c>
      <c r="L110" s="4" t="s">
        <v>8</v>
      </c>
      <c r="M110" s="4">
        <v>4</v>
      </c>
      <c r="N110" s="5">
        <v>500</v>
      </c>
      <c r="O110">
        <f>(M110*N110)</f>
        <v>2000</v>
      </c>
      <c r="P110">
        <f>O110*$S$3</f>
        <v>30</v>
      </c>
      <c r="Q110">
        <f>O110*$S$4</f>
        <v>40</v>
      </c>
    </row>
    <row r="111" spans="1:17">
      <c r="A111" s="2">
        <v>110</v>
      </c>
      <c r="B111" s="4">
        <f>DAY(G111)</f>
        <v>11</v>
      </c>
      <c r="C111">
        <f>MONTH(G111)</f>
        <v>6</v>
      </c>
      <c r="D111">
        <f>YEAR(G111)</f>
        <v>2023</v>
      </c>
      <c r="E111" t="str">
        <f>TEXT(G111,"DDDD")</f>
        <v>Sunday</v>
      </c>
      <c r="F111" t="str">
        <f>TEXT(G111,"MMMM")</f>
        <v>June</v>
      </c>
      <c r="G111" s="3">
        <v>45088</v>
      </c>
      <c r="H111" s="4" t="s">
        <v>143</v>
      </c>
      <c r="I111" s="4" t="s">
        <v>4</v>
      </c>
      <c r="J111" s="4" t="str">
        <f>IF(K111&lt;30, "Young Adult","Adult")</f>
        <v>Young Adult</v>
      </c>
      <c r="K111" s="4">
        <v>27</v>
      </c>
      <c r="L111" s="4" t="s">
        <v>7</v>
      </c>
      <c r="M111" s="4">
        <v>3</v>
      </c>
      <c r="N111" s="5">
        <v>300</v>
      </c>
      <c r="O111">
        <f>(M111*N111)</f>
        <v>900</v>
      </c>
      <c r="P111">
        <f>O111*$S$3</f>
        <v>13.5</v>
      </c>
      <c r="Q111">
        <f>O111*$S$4</f>
        <v>18</v>
      </c>
    </row>
    <row r="112" spans="1:17">
      <c r="A112" s="2">
        <v>111</v>
      </c>
      <c r="B112" s="4">
        <f>DAY(G112)</f>
        <v>19</v>
      </c>
      <c r="C112">
        <f>MONTH(G112)</f>
        <v>4</v>
      </c>
      <c r="D112">
        <f>YEAR(G112)</f>
        <v>2023</v>
      </c>
      <c r="E112" t="str">
        <f>TEXT(G112,"DDDD")</f>
        <v>Wednesday</v>
      </c>
      <c r="F112" t="str">
        <f>TEXT(G112,"MMMM")</f>
        <v>April</v>
      </c>
      <c r="G112" s="3">
        <v>45035</v>
      </c>
      <c r="H112" s="4" t="s">
        <v>144</v>
      </c>
      <c r="I112" s="4" t="s">
        <v>3</v>
      </c>
      <c r="J112" s="4" t="str">
        <f>IF(K112&lt;30, "Young Adult","Adult")</f>
        <v>Adult</v>
      </c>
      <c r="K112" s="4">
        <v>34</v>
      </c>
      <c r="L112" s="4" t="s">
        <v>8</v>
      </c>
      <c r="M112" s="4">
        <v>3</v>
      </c>
      <c r="N112" s="5">
        <v>500</v>
      </c>
      <c r="O112">
        <f>(M112*N112)</f>
        <v>1500</v>
      </c>
      <c r="P112">
        <f>O112*$S$3</f>
        <v>22.5</v>
      </c>
      <c r="Q112">
        <f>O112*$S$4</f>
        <v>30</v>
      </c>
    </row>
    <row r="113" spans="1:17">
      <c r="A113" s="2">
        <v>112</v>
      </c>
      <c r="B113" s="4">
        <f>DAY(G113)</f>
        <v>2</v>
      </c>
      <c r="C113">
        <f>MONTH(G113)</f>
        <v>12</v>
      </c>
      <c r="D113">
        <f>YEAR(G113)</f>
        <v>2023</v>
      </c>
      <c r="E113" t="str">
        <f>TEXT(G113,"DDDD")</f>
        <v>Saturday</v>
      </c>
      <c r="F113" t="str">
        <f>TEXT(G113,"MMMM")</f>
        <v>December</v>
      </c>
      <c r="G113" s="3">
        <v>45262</v>
      </c>
      <c r="H113" s="4" t="s">
        <v>145</v>
      </c>
      <c r="I113" s="4" t="s">
        <v>4</v>
      </c>
      <c r="J113" s="4" t="str">
        <f>IF(K113&lt;30, "Young Adult","Adult")</f>
        <v>Adult</v>
      </c>
      <c r="K113" s="4">
        <v>37</v>
      </c>
      <c r="L113" s="4" t="s">
        <v>7</v>
      </c>
      <c r="M113" s="4">
        <v>3</v>
      </c>
      <c r="N113" s="5">
        <v>500</v>
      </c>
      <c r="O113">
        <f>(M113*N113)</f>
        <v>1500</v>
      </c>
      <c r="P113">
        <f>O113*$S$3</f>
        <v>22.5</v>
      </c>
      <c r="Q113">
        <f>O113*$S$4</f>
        <v>30</v>
      </c>
    </row>
    <row r="114" spans="1:17">
      <c r="A114" s="2">
        <v>113</v>
      </c>
      <c r="B114" s="4">
        <f>DAY(G114)</f>
        <v>13</v>
      </c>
      <c r="C114">
        <f>MONTH(G114)</f>
        <v>9</v>
      </c>
      <c r="D114">
        <f>YEAR(G114)</f>
        <v>2023</v>
      </c>
      <c r="E114" t="str">
        <f>TEXT(G114,"DDDD")</f>
        <v>Wednesday</v>
      </c>
      <c r="F114" t="str">
        <f>TEXT(G114,"MMMM")</f>
        <v>September</v>
      </c>
      <c r="G114" s="3">
        <v>45182</v>
      </c>
      <c r="H114" s="4" t="s">
        <v>146</v>
      </c>
      <c r="I114" s="4" t="s">
        <v>3</v>
      </c>
      <c r="J114" s="4" t="str">
        <f>IF(K114&lt;30, "Young Adult","Adult")</f>
        <v>Adult</v>
      </c>
      <c r="K114" s="4">
        <v>41</v>
      </c>
      <c r="L114" s="4" t="s">
        <v>8</v>
      </c>
      <c r="M114" s="4">
        <v>2</v>
      </c>
      <c r="N114" s="5">
        <v>25</v>
      </c>
      <c r="O114">
        <f>(M114*N114)</f>
        <v>50</v>
      </c>
      <c r="P114">
        <f>O114*$S$3</f>
        <v>0.75</v>
      </c>
      <c r="Q114">
        <f>O114*$S$4</f>
        <v>1</v>
      </c>
    </row>
    <row r="115" spans="1:17">
      <c r="A115" s="2">
        <v>114</v>
      </c>
      <c r="B115" s="4">
        <f>DAY(G115)</f>
        <v>22</v>
      </c>
      <c r="C115">
        <f>MONTH(G115)</f>
        <v>7</v>
      </c>
      <c r="D115">
        <f>YEAR(G115)</f>
        <v>2023</v>
      </c>
      <c r="E115" t="str">
        <f>TEXT(G115,"DDDD")</f>
        <v>Saturday</v>
      </c>
      <c r="F115" t="str">
        <f>TEXT(G115,"MMMM")</f>
        <v>July</v>
      </c>
      <c r="G115" s="3">
        <v>45129</v>
      </c>
      <c r="H115" s="4" t="s">
        <v>147</v>
      </c>
      <c r="I115" s="4" t="s">
        <v>3</v>
      </c>
      <c r="J115" s="4" t="str">
        <f>IF(K115&lt;30, "Young Adult","Adult")</f>
        <v>Young Adult</v>
      </c>
      <c r="K115" s="4">
        <v>22</v>
      </c>
      <c r="L115" s="4" t="s">
        <v>6</v>
      </c>
      <c r="M115" s="4">
        <v>4</v>
      </c>
      <c r="N115" s="5">
        <v>25</v>
      </c>
      <c r="O115">
        <f>(M115*N115)</f>
        <v>100</v>
      </c>
      <c r="P115">
        <f>O115*$S$3</f>
        <v>1.5</v>
      </c>
      <c r="Q115">
        <f>O115*$S$4</f>
        <v>2</v>
      </c>
    </row>
    <row r="116" spans="1:17">
      <c r="A116" s="2">
        <v>115</v>
      </c>
      <c r="B116" s="4">
        <f>DAY(G116)</f>
        <v>26</v>
      </c>
      <c r="C116">
        <f>MONTH(G116)</f>
        <v>11</v>
      </c>
      <c r="D116">
        <f>YEAR(G116)</f>
        <v>2023</v>
      </c>
      <c r="E116" t="str">
        <f>TEXT(G116,"DDDD")</f>
        <v>Sunday</v>
      </c>
      <c r="F116" t="str">
        <f>TEXT(G116,"MMMM")</f>
        <v>November</v>
      </c>
      <c r="G116" s="3">
        <v>45256</v>
      </c>
      <c r="H116" s="4" t="s">
        <v>148</v>
      </c>
      <c r="I116" s="4" t="s">
        <v>4</v>
      </c>
      <c r="J116" s="4" t="str" cm="1">
        <f t="array" ref="J116">_xlfn.IFS(K2&gt;=30,"Senior",K2&gt;=30,"Adult",K2&lt;30,"Young Adult")</f>
        <v>Senior</v>
      </c>
      <c r="K116" s="4">
        <v>51</v>
      </c>
      <c r="L116" s="4" t="s">
        <v>7</v>
      </c>
      <c r="M116" s="4">
        <v>3</v>
      </c>
      <c r="N116" s="5">
        <v>500</v>
      </c>
      <c r="O116">
        <f>(M116*N116)</f>
        <v>1500</v>
      </c>
      <c r="P116">
        <f>O116*$S$3</f>
        <v>22.5</v>
      </c>
      <c r="Q116">
        <f>O116*$S$4</f>
        <v>30</v>
      </c>
    </row>
    <row r="117" spans="1:17">
      <c r="A117" s="2">
        <v>116</v>
      </c>
      <c r="B117" s="4">
        <f>DAY(G117)</f>
        <v>23</v>
      </c>
      <c r="C117">
        <f>MONTH(G117)</f>
        <v>8</v>
      </c>
      <c r="D117">
        <f>YEAR(G117)</f>
        <v>2023</v>
      </c>
      <c r="E117" t="str">
        <f>TEXT(G117,"DDDD")</f>
        <v>Wednesday</v>
      </c>
      <c r="F117" t="str">
        <f>TEXT(G117,"MMMM")</f>
        <v>August</v>
      </c>
      <c r="G117" s="3">
        <v>45161</v>
      </c>
      <c r="H117" s="4" t="s">
        <v>149</v>
      </c>
      <c r="I117" s="4" t="s">
        <v>3</v>
      </c>
      <c r="J117" s="4" t="str">
        <f>IF(K117&lt;30, "Young Adult","Adult")</f>
        <v>Young Adult</v>
      </c>
      <c r="K117" s="4">
        <v>23</v>
      </c>
      <c r="L117" s="4" t="s">
        <v>7</v>
      </c>
      <c r="M117" s="4">
        <v>1</v>
      </c>
      <c r="N117" s="5">
        <v>30</v>
      </c>
      <c r="O117">
        <f>(M117*N117)</f>
        <v>30</v>
      </c>
      <c r="P117">
        <f>O117*$S$3</f>
        <v>0.44999999999999996</v>
      </c>
      <c r="Q117">
        <f>O117*$S$4</f>
        <v>0.6</v>
      </c>
    </row>
    <row r="118" spans="1:17">
      <c r="A118" s="2">
        <v>117</v>
      </c>
      <c r="B118" s="4">
        <f>DAY(G118)</f>
        <v>15</v>
      </c>
      <c r="C118">
        <f>MONTH(G118)</f>
        <v>3</v>
      </c>
      <c r="D118">
        <f>YEAR(G118)</f>
        <v>2023</v>
      </c>
      <c r="E118" t="str">
        <f>TEXT(G118,"DDDD")</f>
        <v>Wednesday</v>
      </c>
      <c r="F118" t="str">
        <f>TEXT(G118,"MMMM")</f>
        <v>March</v>
      </c>
      <c r="G118" s="3">
        <v>45000</v>
      </c>
      <c r="H118" s="4" t="s">
        <v>150</v>
      </c>
      <c r="I118" s="4" t="s">
        <v>4</v>
      </c>
      <c r="J118" s="4" t="str">
        <f>IF(K118&lt;30, "Young Adult","Adult")</f>
        <v>Young Adult</v>
      </c>
      <c r="K118" s="4">
        <v>19</v>
      </c>
      <c r="L118" s="4" t="s">
        <v>8</v>
      </c>
      <c r="M118" s="4">
        <v>2</v>
      </c>
      <c r="N118" s="5">
        <v>500</v>
      </c>
      <c r="O118">
        <f>(M118*N118)</f>
        <v>1000</v>
      </c>
      <c r="P118">
        <f>O118*$S$3</f>
        <v>15</v>
      </c>
      <c r="Q118">
        <f>O118*$S$4</f>
        <v>20</v>
      </c>
    </row>
    <row r="119" spans="1:17">
      <c r="A119" s="2">
        <v>118</v>
      </c>
      <c r="B119" s="4">
        <f>DAY(G119)</f>
        <v>16</v>
      </c>
      <c r="C119">
        <f>MONTH(G119)</f>
        <v>5</v>
      </c>
      <c r="D119">
        <f>YEAR(G119)</f>
        <v>2023</v>
      </c>
      <c r="E119" t="str">
        <f>TEXT(G119,"DDDD")</f>
        <v>Tuesday</v>
      </c>
      <c r="F119" t="str">
        <f>TEXT(G119,"MMMM")</f>
        <v>May</v>
      </c>
      <c r="G119" s="3">
        <v>45062</v>
      </c>
      <c r="H119" s="4" t="s">
        <v>151</v>
      </c>
      <c r="I119" s="4" t="s">
        <v>3</v>
      </c>
      <c r="J119" s="4" t="str">
        <f>IF(K119&lt;30, "Young Adult","Adult")</f>
        <v>Adult</v>
      </c>
      <c r="K119" s="4">
        <v>30</v>
      </c>
      <c r="L119" s="4" t="s">
        <v>8</v>
      </c>
      <c r="M119" s="4">
        <v>4</v>
      </c>
      <c r="N119" s="5">
        <v>500</v>
      </c>
      <c r="O119">
        <f>(M119*N119)</f>
        <v>2000</v>
      </c>
      <c r="P119">
        <f>O119*$S$3</f>
        <v>30</v>
      </c>
      <c r="Q119">
        <f>O119*$S$4</f>
        <v>40</v>
      </c>
    </row>
    <row r="120" spans="1:17">
      <c r="A120" s="2">
        <v>119</v>
      </c>
      <c r="B120" s="4">
        <f>DAY(G120)</f>
        <v>13</v>
      </c>
      <c r="C120">
        <f>MONTH(G120)</f>
        <v>3</v>
      </c>
      <c r="D120">
        <f>YEAR(G120)</f>
        <v>2023</v>
      </c>
      <c r="E120" t="str">
        <f>TEXT(G120,"DDDD")</f>
        <v>Monday</v>
      </c>
      <c r="F120" t="str">
        <f>TEXT(G120,"MMMM")</f>
        <v>March</v>
      </c>
      <c r="G120" s="3">
        <v>44998</v>
      </c>
      <c r="H120" s="4" t="s">
        <v>152</v>
      </c>
      <c r="I120" s="4" t="s">
        <v>3</v>
      </c>
      <c r="J120" s="4" t="str" cm="1">
        <f t="array" ref="J120">_xlfn.IFS(K2&gt;=30,"Senior",K2&gt;=30,"Adult",K2&lt;30,"Young Adult")</f>
        <v>Senior</v>
      </c>
      <c r="K120" s="4">
        <v>60</v>
      </c>
      <c r="L120" s="4" t="s">
        <v>7</v>
      </c>
      <c r="M120" s="4">
        <v>3</v>
      </c>
      <c r="N120" s="5">
        <v>50</v>
      </c>
      <c r="O120">
        <f>(M120*N120)</f>
        <v>150</v>
      </c>
      <c r="P120">
        <f>O120*$S$3</f>
        <v>2.25</v>
      </c>
      <c r="Q120">
        <f>O120*$S$4</f>
        <v>3</v>
      </c>
    </row>
    <row r="121" spans="1:17">
      <c r="A121" s="2">
        <v>120</v>
      </c>
      <c r="B121" s="4">
        <f>DAY(G121)</f>
        <v>7</v>
      </c>
      <c r="C121">
        <f>MONTH(G121)</f>
        <v>5</v>
      </c>
      <c r="D121">
        <f>YEAR(G121)</f>
        <v>2023</v>
      </c>
      <c r="E121" t="str">
        <f>TEXT(G121,"DDDD")</f>
        <v>Sunday</v>
      </c>
      <c r="F121" t="str">
        <f>TEXT(G121,"MMMM")</f>
        <v>May</v>
      </c>
      <c r="G121" s="3">
        <v>45053</v>
      </c>
      <c r="H121" s="4" t="s">
        <v>153</v>
      </c>
      <c r="I121" s="4" t="s">
        <v>4</v>
      </c>
      <c r="J121" s="4" t="str" cm="1">
        <f t="array" ref="J121">_xlfn.IFS(K2&gt;=30,"Senior",K2&gt;=30,"Adult",K2&lt;30,"Young Adult")</f>
        <v>Senior</v>
      </c>
      <c r="K121" s="4">
        <v>60</v>
      </c>
      <c r="L121" s="4" t="s">
        <v>6</v>
      </c>
      <c r="M121" s="4">
        <v>1</v>
      </c>
      <c r="N121" s="5">
        <v>50</v>
      </c>
      <c r="O121">
        <f>(M121*N121)</f>
        <v>50</v>
      </c>
      <c r="P121">
        <f>O121*$S$3</f>
        <v>0.75</v>
      </c>
      <c r="Q121">
        <f>O121*$S$4</f>
        <v>1</v>
      </c>
    </row>
    <row r="122" spans="1:17">
      <c r="A122" s="2">
        <v>121</v>
      </c>
      <c r="B122" s="4">
        <f>DAY(G122)</f>
        <v>15</v>
      </c>
      <c r="C122">
        <f>MONTH(G122)</f>
        <v>10</v>
      </c>
      <c r="D122">
        <f>YEAR(G122)</f>
        <v>2023</v>
      </c>
      <c r="E122" t="str">
        <f>TEXT(G122,"DDDD")</f>
        <v>Sunday</v>
      </c>
      <c r="F122" t="str">
        <f>TEXT(G122,"MMMM")</f>
        <v>October</v>
      </c>
      <c r="G122" s="3">
        <v>45214</v>
      </c>
      <c r="H122" s="4" t="s">
        <v>154</v>
      </c>
      <c r="I122" s="4" t="s">
        <v>3</v>
      </c>
      <c r="J122" s="4" t="str">
        <f>IF(K122&lt;30, "Young Adult","Adult")</f>
        <v>Young Adult</v>
      </c>
      <c r="K122" s="4">
        <v>28</v>
      </c>
      <c r="L122" s="4" t="s">
        <v>8</v>
      </c>
      <c r="M122" s="4">
        <v>4</v>
      </c>
      <c r="N122" s="5">
        <v>50</v>
      </c>
      <c r="O122">
        <f>(M122*N122)</f>
        <v>200</v>
      </c>
      <c r="P122">
        <f>O122*$S$3</f>
        <v>3</v>
      </c>
      <c r="Q122">
        <f>O122*$S$4</f>
        <v>4</v>
      </c>
    </row>
    <row r="123" spans="1:17">
      <c r="A123" s="2">
        <v>122</v>
      </c>
      <c r="B123" s="4">
        <f>DAY(G123)</f>
        <v>3</v>
      </c>
      <c r="C123">
        <f>MONTH(G123)</f>
        <v>10</v>
      </c>
      <c r="D123">
        <f>YEAR(G123)</f>
        <v>2023</v>
      </c>
      <c r="E123" t="str">
        <f>TEXT(G123,"DDDD")</f>
        <v>Tuesday</v>
      </c>
      <c r="F123" t="str">
        <f>TEXT(G123,"MMMM")</f>
        <v>October</v>
      </c>
      <c r="G123" s="3">
        <v>45202</v>
      </c>
      <c r="H123" s="4" t="s">
        <v>155</v>
      </c>
      <c r="I123" s="4" t="s">
        <v>4</v>
      </c>
      <c r="J123" s="4" t="str" cm="1">
        <f t="array" ref="J123">_xlfn.IFS(K2&gt;=30,"Senior",K2&gt;=30,"Adult",K2&lt;30,"Young Adult")</f>
        <v>Senior</v>
      </c>
      <c r="K123" s="4">
        <v>64</v>
      </c>
      <c r="L123" s="4" t="s">
        <v>8</v>
      </c>
      <c r="M123" s="4">
        <v>4</v>
      </c>
      <c r="N123" s="5">
        <v>30</v>
      </c>
      <c r="O123">
        <f>(M123*N123)</f>
        <v>120</v>
      </c>
      <c r="P123">
        <f>O123*$S$3</f>
        <v>1.7999999999999998</v>
      </c>
      <c r="Q123">
        <f>O123*$S$4</f>
        <v>2.4</v>
      </c>
    </row>
    <row r="124" spans="1:17">
      <c r="A124" s="2">
        <v>123</v>
      </c>
      <c r="B124" s="4">
        <f>DAY(G124)</f>
        <v>15</v>
      </c>
      <c r="C124">
        <f>MONTH(G124)</f>
        <v>5</v>
      </c>
      <c r="D124">
        <f>YEAR(G124)</f>
        <v>2023</v>
      </c>
      <c r="E124" t="str">
        <f>TEXT(G124,"DDDD")</f>
        <v>Monday</v>
      </c>
      <c r="F124" t="str">
        <f>TEXT(G124,"MMMM")</f>
        <v>May</v>
      </c>
      <c r="G124" s="3">
        <v>45061</v>
      </c>
      <c r="H124" s="4" t="s">
        <v>156</v>
      </c>
      <c r="I124" s="4" t="s">
        <v>3</v>
      </c>
      <c r="J124" s="4" t="str">
        <f>IF(K124&lt;30, "Young Adult","Adult")</f>
        <v>Adult</v>
      </c>
      <c r="K124" s="4">
        <v>40</v>
      </c>
      <c r="L124" s="4" t="s">
        <v>8</v>
      </c>
      <c r="M124" s="4">
        <v>2</v>
      </c>
      <c r="N124" s="5">
        <v>30</v>
      </c>
      <c r="O124">
        <f>(M124*N124)</f>
        <v>60</v>
      </c>
      <c r="P124">
        <f>O124*$S$3</f>
        <v>0.89999999999999991</v>
      </c>
      <c r="Q124">
        <f>O124*$S$4</f>
        <v>1.2</v>
      </c>
    </row>
    <row r="125" spans="1:17">
      <c r="A125" s="2">
        <v>124</v>
      </c>
      <c r="B125" s="4">
        <f>DAY(G125)</f>
        <v>27</v>
      </c>
      <c r="C125">
        <f>MONTH(G125)</f>
        <v>10</v>
      </c>
      <c r="D125">
        <f>YEAR(G125)</f>
        <v>2023</v>
      </c>
      <c r="E125" t="str">
        <f>TEXT(G125,"DDDD")</f>
        <v>Friday</v>
      </c>
      <c r="F125" t="str">
        <f>TEXT(G125,"MMMM")</f>
        <v>October</v>
      </c>
      <c r="G125" s="3">
        <v>45226</v>
      </c>
      <c r="H125" s="4" t="s">
        <v>157</v>
      </c>
      <c r="I125" s="4" t="s">
        <v>4</v>
      </c>
      <c r="J125" s="4" t="str">
        <f>IF(K125&lt;30, "Young Adult","Adult")</f>
        <v>Adult</v>
      </c>
      <c r="K125" s="4">
        <v>33</v>
      </c>
      <c r="L125" s="4" t="s">
        <v>7</v>
      </c>
      <c r="M125" s="4">
        <v>4</v>
      </c>
      <c r="N125" s="5">
        <v>500</v>
      </c>
      <c r="O125">
        <f>(M125*N125)</f>
        <v>2000</v>
      </c>
      <c r="P125">
        <f>O125*$S$3</f>
        <v>30</v>
      </c>
      <c r="Q125">
        <f>O125*$S$4</f>
        <v>40</v>
      </c>
    </row>
    <row r="126" spans="1:17">
      <c r="A126" s="2">
        <v>125</v>
      </c>
      <c r="B126" s="4">
        <f>DAY(G126)</f>
        <v>8</v>
      </c>
      <c r="C126">
        <f>MONTH(G126)</f>
        <v>8</v>
      </c>
      <c r="D126">
        <f>YEAR(G126)</f>
        <v>2023</v>
      </c>
      <c r="E126" t="str">
        <f>TEXT(G126,"DDDD")</f>
        <v>Tuesday</v>
      </c>
      <c r="F126" t="str">
        <f>TEXT(G126,"MMMM")</f>
        <v>August</v>
      </c>
      <c r="G126" s="3">
        <v>45146</v>
      </c>
      <c r="H126" s="4" t="s">
        <v>158</v>
      </c>
      <c r="I126" s="4" t="s">
        <v>4</v>
      </c>
      <c r="J126" s="4" t="str">
        <f>IF(K126&lt;30, "Young Adult","Adult")</f>
        <v>Adult</v>
      </c>
      <c r="K126" s="4">
        <v>48</v>
      </c>
      <c r="L126" s="4" t="s">
        <v>7</v>
      </c>
      <c r="M126" s="4">
        <v>2</v>
      </c>
      <c r="N126" s="5">
        <v>50</v>
      </c>
      <c r="O126">
        <f>(M126*N126)</f>
        <v>100</v>
      </c>
      <c r="P126">
        <f>O126*$S$3</f>
        <v>1.5</v>
      </c>
      <c r="Q126">
        <f>O126*$S$4</f>
        <v>2</v>
      </c>
    </row>
    <row r="127" spans="1:17">
      <c r="A127" s="2">
        <v>126</v>
      </c>
      <c r="B127" s="4">
        <f>DAY(G127)</f>
        <v>26</v>
      </c>
      <c r="C127">
        <f>MONTH(G127)</f>
        <v>10</v>
      </c>
      <c r="D127">
        <f>YEAR(G127)</f>
        <v>2023</v>
      </c>
      <c r="E127" t="str">
        <f>TEXT(G127,"DDDD")</f>
        <v>Thursday</v>
      </c>
      <c r="F127" t="str">
        <f>TEXT(G127,"MMMM")</f>
        <v>October</v>
      </c>
      <c r="G127" s="3">
        <v>45225</v>
      </c>
      <c r="H127" s="4" t="s">
        <v>159</v>
      </c>
      <c r="I127" s="4" t="s">
        <v>3</v>
      </c>
      <c r="J127" s="4" t="str">
        <f>IF(K127&lt;30, "Young Adult","Adult")</f>
        <v>Young Adult</v>
      </c>
      <c r="K127" s="4">
        <v>28</v>
      </c>
      <c r="L127" s="4" t="s">
        <v>7</v>
      </c>
      <c r="M127" s="4">
        <v>3</v>
      </c>
      <c r="N127" s="5">
        <v>30</v>
      </c>
      <c r="O127">
        <f>(M127*N127)</f>
        <v>90</v>
      </c>
      <c r="P127">
        <f>O127*$S$3</f>
        <v>1.3499999999999999</v>
      </c>
      <c r="Q127">
        <f>O127*$S$4</f>
        <v>1.8</v>
      </c>
    </row>
    <row r="128" spans="1:17">
      <c r="A128" s="2">
        <v>127</v>
      </c>
      <c r="B128" s="4">
        <f>DAY(G128)</f>
        <v>24</v>
      </c>
      <c r="C128">
        <f>MONTH(G128)</f>
        <v>7</v>
      </c>
      <c r="D128">
        <f>YEAR(G128)</f>
        <v>2023</v>
      </c>
      <c r="E128" t="str">
        <f>TEXT(G128,"DDDD")</f>
        <v>Monday</v>
      </c>
      <c r="F128" t="str">
        <f>TEXT(G128,"MMMM")</f>
        <v>July</v>
      </c>
      <c r="G128" s="3">
        <v>45131</v>
      </c>
      <c r="H128" s="4" t="s">
        <v>160</v>
      </c>
      <c r="I128" s="4" t="s">
        <v>3</v>
      </c>
      <c r="J128" s="4" t="str">
        <f>IF(K128&lt;30, "Young Adult","Adult")</f>
        <v>Adult</v>
      </c>
      <c r="K128" s="4">
        <v>33</v>
      </c>
      <c r="L128" s="4" t="s">
        <v>7</v>
      </c>
      <c r="M128" s="4">
        <v>2</v>
      </c>
      <c r="N128" s="5">
        <v>25</v>
      </c>
      <c r="O128">
        <f>(M128*N128)</f>
        <v>50</v>
      </c>
      <c r="P128">
        <f>O128*$S$3</f>
        <v>0.75</v>
      </c>
      <c r="Q128">
        <f>O128*$S$4</f>
        <v>1</v>
      </c>
    </row>
    <row r="129" spans="1:17">
      <c r="A129" s="2">
        <v>128</v>
      </c>
      <c r="B129" s="4">
        <f>DAY(G129)</f>
        <v>5</v>
      </c>
      <c r="C129">
        <f>MONTH(G129)</f>
        <v>7</v>
      </c>
      <c r="D129">
        <f>YEAR(G129)</f>
        <v>2023</v>
      </c>
      <c r="E129" t="str">
        <f>TEXT(G129,"DDDD")</f>
        <v>Wednesday</v>
      </c>
      <c r="F129" t="str">
        <f>TEXT(G129,"MMMM")</f>
        <v>July</v>
      </c>
      <c r="G129" s="3">
        <v>45112</v>
      </c>
      <c r="H129" s="4" t="s">
        <v>161</v>
      </c>
      <c r="I129" s="4" t="s">
        <v>4</v>
      </c>
      <c r="J129" s="4" t="str">
        <f>IF(K129&lt;30, "Young Adult","Adult")</f>
        <v>Young Adult</v>
      </c>
      <c r="K129" s="4">
        <v>25</v>
      </c>
      <c r="L129" s="4" t="s">
        <v>6</v>
      </c>
      <c r="M129" s="4">
        <v>1</v>
      </c>
      <c r="N129" s="5">
        <v>500</v>
      </c>
      <c r="O129">
        <f>(M129*N129)</f>
        <v>500</v>
      </c>
      <c r="P129">
        <f>O129*$S$3</f>
        <v>7.5</v>
      </c>
      <c r="Q129">
        <f>O129*$S$4</f>
        <v>10</v>
      </c>
    </row>
    <row r="130" spans="1:17">
      <c r="A130" s="2">
        <v>129</v>
      </c>
      <c r="B130" s="4">
        <f>DAY(G130)</f>
        <v>23</v>
      </c>
      <c r="C130">
        <f>MONTH(G130)</f>
        <v>4</v>
      </c>
      <c r="D130">
        <f>YEAR(G130)</f>
        <v>2023</v>
      </c>
      <c r="E130" t="str">
        <f>TEXT(G130,"DDDD")</f>
        <v>Sunday</v>
      </c>
      <c r="F130" t="str">
        <f>TEXT(G130,"MMMM")</f>
        <v>April</v>
      </c>
      <c r="G130" s="3">
        <v>45039</v>
      </c>
      <c r="H130" s="4" t="s">
        <v>162</v>
      </c>
      <c r="I130" s="4" t="s">
        <v>3</v>
      </c>
      <c r="J130" s="4" t="str">
        <f>IF(K130&lt;30, "Young Adult","Adult")</f>
        <v>Young Adult</v>
      </c>
      <c r="K130" s="4">
        <v>21</v>
      </c>
      <c r="L130" s="4" t="s">
        <v>6</v>
      </c>
      <c r="M130" s="4">
        <v>2</v>
      </c>
      <c r="N130" s="5">
        <v>300</v>
      </c>
      <c r="O130">
        <f>(M130*N130)</f>
        <v>600</v>
      </c>
      <c r="P130">
        <f>O130*$S$3</f>
        <v>9</v>
      </c>
      <c r="Q130">
        <f>O130*$S$4</f>
        <v>12</v>
      </c>
    </row>
    <row r="131" spans="1:17">
      <c r="A131" s="2">
        <v>130</v>
      </c>
      <c r="B131" s="4">
        <f>DAY(G131)</f>
        <v>12</v>
      </c>
      <c r="C131">
        <f>MONTH(G131)</f>
        <v>3</v>
      </c>
      <c r="D131">
        <f>YEAR(G131)</f>
        <v>2023</v>
      </c>
      <c r="E131" t="str">
        <f>TEXT(G131,"DDDD")</f>
        <v>Sunday</v>
      </c>
      <c r="F131" t="str">
        <f>TEXT(G131,"MMMM")</f>
        <v>March</v>
      </c>
      <c r="G131" s="3">
        <v>44997</v>
      </c>
      <c r="H131" s="4" t="s">
        <v>163</v>
      </c>
      <c r="I131" s="4" t="s">
        <v>3</v>
      </c>
      <c r="J131" s="4" t="str" cm="1">
        <f t="array" ref="J131">_xlfn.IFS(K2&gt;=30,"Senior",K2&gt;=30,"Adult",K2&lt;30,"Young Adult")</f>
        <v>Senior</v>
      </c>
      <c r="K131" s="4">
        <v>57</v>
      </c>
      <c r="L131" s="4" t="s">
        <v>7</v>
      </c>
      <c r="M131" s="4">
        <v>1</v>
      </c>
      <c r="N131" s="5">
        <v>500</v>
      </c>
      <c r="O131">
        <f>(M131*N131)</f>
        <v>500</v>
      </c>
      <c r="P131">
        <f>O131*$S$3</f>
        <v>7.5</v>
      </c>
      <c r="Q131">
        <f>O131*$S$4</f>
        <v>10</v>
      </c>
    </row>
    <row r="132" spans="1:17">
      <c r="A132" s="2">
        <v>131</v>
      </c>
      <c r="B132" s="4">
        <f>DAY(G132)</f>
        <v>18</v>
      </c>
      <c r="C132">
        <f>MONTH(G132)</f>
        <v>9</v>
      </c>
      <c r="D132">
        <f>YEAR(G132)</f>
        <v>2023</v>
      </c>
      <c r="E132" t="str">
        <f>TEXT(G132,"DDDD")</f>
        <v>Monday</v>
      </c>
      <c r="F132" t="str">
        <f>TEXT(G132,"MMMM")</f>
        <v>September</v>
      </c>
      <c r="G132" s="3">
        <v>45187</v>
      </c>
      <c r="H132" s="4" t="s">
        <v>164</v>
      </c>
      <c r="I132" s="4" t="s">
        <v>3</v>
      </c>
      <c r="J132" s="4" t="str">
        <f>IF(K132&lt;30, "Young Adult","Adult")</f>
        <v>Young Adult</v>
      </c>
      <c r="K132" s="4">
        <v>21</v>
      </c>
      <c r="L132" s="4" t="s">
        <v>6</v>
      </c>
      <c r="M132" s="4">
        <v>2</v>
      </c>
      <c r="N132" s="5">
        <v>300</v>
      </c>
      <c r="O132">
        <f>(M132*N132)</f>
        <v>600</v>
      </c>
      <c r="P132">
        <f>O132*$S$3</f>
        <v>9</v>
      </c>
      <c r="Q132">
        <f>O132*$S$4</f>
        <v>12</v>
      </c>
    </row>
    <row r="133" spans="1:17">
      <c r="A133" s="2">
        <v>132</v>
      </c>
      <c r="B133" s="4">
        <f>DAY(G133)</f>
        <v>10</v>
      </c>
      <c r="C133">
        <f>MONTH(G133)</f>
        <v>9</v>
      </c>
      <c r="D133">
        <f>YEAR(G133)</f>
        <v>2023</v>
      </c>
      <c r="E133" t="str">
        <f>TEXT(G133,"DDDD")</f>
        <v>Sunday</v>
      </c>
      <c r="F133" t="str">
        <f>TEXT(G133,"MMMM")</f>
        <v>September</v>
      </c>
      <c r="G133" s="3">
        <v>45179</v>
      </c>
      <c r="H133" s="4" t="s">
        <v>165</v>
      </c>
      <c r="I133" s="4" t="s">
        <v>4</v>
      </c>
      <c r="J133" s="4" t="str">
        <f>IF(K133&lt;30, "Young Adult","Adult")</f>
        <v>Adult</v>
      </c>
      <c r="K133" s="4">
        <v>42</v>
      </c>
      <c r="L133" s="4" t="s">
        <v>8</v>
      </c>
      <c r="M133" s="4">
        <v>4</v>
      </c>
      <c r="N133" s="5">
        <v>50</v>
      </c>
      <c r="O133">
        <f>(M133*N133)</f>
        <v>200</v>
      </c>
      <c r="P133">
        <f>O133*$S$3</f>
        <v>3</v>
      </c>
      <c r="Q133">
        <f>O133*$S$4</f>
        <v>4</v>
      </c>
    </row>
    <row r="134" spans="1:17">
      <c r="A134" s="2">
        <v>133</v>
      </c>
      <c r="B134" s="4">
        <f>DAY(G134)</f>
        <v>16</v>
      </c>
      <c r="C134">
        <f>MONTH(G134)</f>
        <v>2</v>
      </c>
      <c r="D134">
        <f>YEAR(G134)</f>
        <v>2023</v>
      </c>
      <c r="E134" t="str">
        <f>TEXT(G134,"DDDD")</f>
        <v>Thursday</v>
      </c>
      <c r="F134" t="str">
        <f>TEXT(G134,"MMMM")</f>
        <v>February</v>
      </c>
      <c r="G134" s="3">
        <v>44973</v>
      </c>
      <c r="H134" s="4" t="s">
        <v>166</v>
      </c>
      <c r="I134" s="4" t="s">
        <v>4</v>
      </c>
      <c r="J134" s="4" t="str">
        <f>IF(K134&lt;30, "Young Adult","Adult")</f>
        <v>Young Adult</v>
      </c>
      <c r="K134" s="4">
        <v>20</v>
      </c>
      <c r="L134" s="4" t="s">
        <v>8</v>
      </c>
      <c r="M134" s="4">
        <v>3</v>
      </c>
      <c r="N134" s="5">
        <v>300</v>
      </c>
      <c r="O134">
        <f>(M134*N134)</f>
        <v>900</v>
      </c>
      <c r="P134">
        <f>O134*$S$3</f>
        <v>13.5</v>
      </c>
      <c r="Q134">
        <f>O134*$S$4</f>
        <v>18</v>
      </c>
    </row>
    <row r="135" spans="1:17">
      <c r="A135" s="2">
        <v>134</v>
      </c>
      <c r="B135" s="4">
        <f>DAY(G135)</f>
        <v>25</v>
      </c>
      <c r="C135">
        <f>MONTH(G135)</f>
        <v>1</v>
      </c>
      <c r="D135">
        <f>YEAR(G135)</f>
        <v>2023</v>
      </c>
      <c r="E135" t="str">
        <f>TEXT(G135,"DDDD")</f>
        <v>Wednesday</v>
      </c>
      <c r="F135" t="str">
        <f>TEXT(G135,"MMMM")</f>
        <v>January</v>
      </c>
      <c r="G135" s="3">
        <v>44951</v>
      </c>
      <c r="H135" s="4" t="s">
        <v>167</v>
      </c>
      <c r="I135" s="4" t="s">
        <v>4</v>
      </c>
      <c r="J135" s="4" t="str">
        <f>IF(K135&lt;30, "Young Adult","Adult")</f>
        <v>Adult</v>
      </c>
      <c r="K135" s="4">
        <v>49</v>
      </c>
      <c r="L135" s="4" t="s">
        <v>8</v>
      </c>
      <c r="M135" s="4">
        <v>1</v>
      </c>
      <c r="N135" s="5">
        <v>50</v>
      </c>
      <c r="O135">
        <f>(M135*N135)</f>
        <v>50</v>
      </c>
      <c r="P135">
        <f>O135*$S$3</f>
        <v>0.75</v>
      </c>
      <c r="Q135">
        <f>O135*$S$4</f>
        <v>1</v>
      </c>
    </row>
    <row r="136" spans="1:17">
      <c r="A136" s="2">
        <v>135</v>
      </c>
      <c r="B136" s="4">
        <f>DAY(G136)</f>
        <v>26</v>
      </c>
      <c r="C136">
        <f>MONTH(G136)</f>
        <v>2</v>
      </c>
      <c r="D136">
        <f>YEAR(G136)</f>
        <v>2023</v>
      </c>
      <c r="E136" t="str">
        <f>TEXT(G136,"DDDD")</f>
        <v>Sunday</v>
      </c>
      <c r="F136" t="str">
        <f>TEXT(G136,"MMMM")</f>
        <v>February</v>
      </c>
      <c r="G136" s="3">
        <v>44983</v>
      </c>
      <c r="H136" s="4" t="s">
        <v>168</v>
      </c>
      <c r="I136" s="4" t="s">
        <v>4</v>
      </c>
      <c r="J136" s="4" t="str">
        <f>IF(K136&lt;30, "Young Adult","Adult")</f>
        <v>Young Adult</v>
      </c>
      <c r="K136" s="4">
        <v>20</v>
      </c>
      <c r="L136" s="4" t="s">
        <v>7</v>
      </c>
      <c r="M136" s="4">
        <v>2</v>
      </c>
      <c r="N136" s="5">
        <v>25</v>
      </c>
      <c r="O136">
        <f>(M136*N136)</f>
        <v>50</v>
      </c>
      <c r="P136">
        <f>O136*$S$3</f>
        <v>0.75</v>
      </c>
      <c r="Q136">
        <f>O136*$S$4</f>
        <v>1</v>
      </c>
    </row>
    <row r="137" spans="1:17">
      <c r="A137" s="2">
        <v>136</v>
      </c>
      <c r="B137" s="4">
        <f>DAY(G137)</f>
        <v>20</v>
      </c>
      <c r="C137">
        <f>MONTH(G137)</f>
        <v>3</v>
      </c>
      <c r="D137">
        <f>YEAR(G137)</f>
        <v>2023</v>
      </c>
      <c r="E137" t="str">
        <f>TEXT(G137,"DDDD")</f>
        <v>Monday</v>
      </c>
      <c r="F137" t="str">
        <f>TEXT(G137,"MMMM")</f>
        <v>March</v>
      </c>
      <c r="G137" s="3">
        <v>45005</v>
      </c>
      <c r="H137" s="4" t="s">
        <v>169</v>
      </c>
      <c r="I137" s="4" t="s">
        <v>4</v>
      </c>
      <c r="J137" s="4" t="str">
        <f>IF(K137&lt;30, "Young Adult","Adult")</f>
        <v>Adult</v>
      </c>
      <c r="K137" s="4">
        <v>44</v>
      </c>
      <c r="L137" s="4" t="s">
        <v>8</v>
      </c>
      <c r="M137" s="4">
        <v>2</v>
      </c>
      <c r="N137" s="5">
        <v>300</v>
      </c>
      <c r="O137">
        <f>(M137*N137)</f>
        <v>600</v>
      </c>
      <c r="P137">
        <f>O137*$S$3</f>
        <v>9</v>
      </c>
      <c r="Q137">
        <f>O137*$S$4</f>
        <v>12</v>
      </c>
    </row>
    <row r="138" spans="1:17">
      <c r="A138" s="2">
        <v>137</v>
      </c>
      <c r="B138" s="4">
        <f>DAY(G138)</f>
        <v>18</v>
      </c>
      <c r="C138">
        <f>MONTH(G138)</f>
        <v>11</v>
      </c>
      <c r="D138">
        <f>YEAR(G138)</f>
        <v>2023</v>
      </c>
      <c r="E138" t="str">
        <f>TEXT(G138,"DDDD")</f>
        <v>Saturday</v>
      </c>
      <c r="F138" t="str">
        <f>TEXT(G138,"MMMM")</f>
        <v>November</v>
      </c>
      <c r="G138" s="3">
        <v>45248</v>
      </c>
      <c r="H138" s="4" t="s">
        <v>170</v>
      </c>
      <c r="I138" s="4" t="s">
        <v>4</v>
      </c>
      <c r="J138" s="4" t="str">
        <f>IF(K138&lt;30, "Young Adult","Adult")</f>
        <v>Adult</v>
      </c>
      <c r="K138" s="4">
        <v>46</v>
      </c>
      <c r="L138" s="4" t="s">
        <v>6</v>
      </c>
      <c r="M138" s="4">
        <v>2</v>
      </c>
      <c r="N138" s="5">
        <v>500</v>
      </c>
      <c r="O138">
        <f>(M138*N138)</f>
        <v>1000</v>
      </c>
      <c r="P138">
        <f>O138*$S$3</f>
        <v>15</v>
      </c>
      <c r="Q138">
        <f>O138*$S$4</f>
        <v>20</v>
      </c>
    </row>
    <row r="139" spans="1:17">
      <c r="A139" s="2">
        <v>138</v>
      </c>
      <c r="B139" s="4">
        <f>DAY(G139)</f>
        <v>23</v>
      </c>
      <c r="C139">
        <f>MONTH(G139)</f>
        <v>3</v>
      </c>
      <c r="D139">
        <f>YEAR(G139)</f>
        <v>2023</v>
      </c>
      <c r="E139" t="str">
        <f>TEXT(G139,"DDDD")</f>
        <v>Thursday</v>
      </c>
      <c r="F139" t="str">
        <f>TEXT(G139,"MMMM")</f>
        <v>March</v>
      </c>
      <c r="G139" s="3">
        <v>45008</v>
      </c>
      <c r="H139" s="4" t="s">
        <v>171</v>
      </c>
      <c r="I139" s="4" t="s">
        <v>4</v>
      </c>
      <c r="J139" s="4" t="str">
        <f>IF(K139&lt;30, "Young Adult","Adult")</f>
        <v>Adult</v>
      </c>
      <c r="K139" s="4">
        <v>49</v>
      </c>
      <c r="L139" s="4" t="s">
        <v>7</v>
      </c>
      <c r="M139" s="4">
        <v>4</v>
      </c>
      <c r="N139" s="5">
        <v>50</v>
      </c>
      <c r="O139">
        <f>(M139*N139)</f>
        <v>200</v>
      </c>
      <c r="P139">
        <f>O139*$S$3</f>
        <v>3</v>
      </c>
      <c r="Q139">
        <f>O139*$S$4</f>
        <v>4</v>
      </c>
    </row>
    <row r="140" spans="1:17">
      <c r="A140" s="2">
        <v>139</v>
      </c>
      <c r="B140" s="4">
        <f>DAY(G140)</f>
        <v>15</v>
      </c>
      <c r="C140">
        <f>MONTH(G140)</f>
        <v>12</v>
      </c>
      <c r="D140">
        <f>YEAR(G140)</f>
        <v>2023</v>
      </c>
      <c r="E140" t="str">
        <f>TEXT(G140,"DDDD")</f>
        <v>Friday</v>
      </c>
      <c r="F140" t="str">
        <f>TEXT(G140,"MMMM")</f>
        <v>December</v>
      </c>
      <c r="G140" s="3">
        <v>45275</v>
      </c>
      <c r="H140" s="4" t="s">
        <v>172</v>
      </c>
      <c r="I140" s="4" t="s">
        <v>4</v>
      </c>
      <c r="J140" s="4" t="str">
        <f>IF(K140&lt;30, "Young Adult","Adult")</f>
        <v>Adult</v>
      </c>
      <c r="K140" s="4">
        <v>36</v>
      </c>
      <c r="L140" s="4" t="s">
        <v>6</v>
      </c>
      <c r="M140" s="4">
        <v>4</v>
      </c>
      <c r="N140" s="5">
        <v>500</v>
      </c>
      <c r="O140">
        <f>(M140*N140)</f>
        <v>2000</v>
      </c>
      <c r="P140">
        <f>O140*$S$3</f>
        <v>30</v>
      </c>
      <c r="Q140">
        <f>O140*$S$4</f>
        <v>40</v>
      </c>
    </row>
    <row r="141" spans="1:17">
      <c r="A141" s="2">
        <v>140</v>
      </c>
      <c r="B141" s="4">
        <f>DAY(G141)</f>
        <v>5</v>
      </c>
      <c r="C141">
        <f>MONTH(G141)</f>
        <v>8</v>
      </c>
      <c r="D141">
        <f>YEAR(G141)</f>
        <v>2023</v>
      </c>
      <c r="E141" t="str">
        <f>TEXT(G141,"DDDD")</f>
        <v>Saturday</v>
      </c>
      <c r="F141" t="str">
        <f>TEXT(G141,"MMMM")</f>
        <v>August</v>
      </c>
      <c r="G141" s="3">
        <v>45143</v>
      </c>
      <c r="H141" s="4" t="s">
        <v>173</v>
      </c>
      <c r="I141" s="4" t="s">
        <v>4</v>
      </c>
      <c r="J141" s="4" t="str">
        <f>IF(K141&lt;30, "Young Adult","Adult")</f>
        <v>Adult</v>
      </c>
      <c r="K141" s="4">
        <v>38</v>
      </c>
      <c r="L141" s="4" t="s">
        <v>8</v>
      </c>
      <c r="M141" s="4">
        <v>1</v>
      </c>
      <c r="N141" s="5">
        <v>30</v>
      </c>
      <c r="O141">
        <f>(M141*N141)</f>
        <v>30</v>
      </c>
      <c r="P141">
        <f>O141*$S$3</f>
        <v>0.44999999999999996</v>
      </c>
      <c r="Q141">
        <f>O141*$S$4</f>
        <v>0.6</v>
      </c>
    </row>
    <row r="142" spans="1:17">
      <c r="A142" s="2">
        <v>141</v>
      </c>
      <c r="B142" s="4">
        <f>DAY(G142)</f>
        <v>2</v>
      </c>
      <c r="C142">
        <f>MONTH(G142)</f>
        <v>11</v>
      </c>
      <c r="D142">
        <f>YEAR(G142)</f>
        <v>2023</v>
      </c>
      <c r="E142" t="str">
        <f>TEXT(G142,"DDDD")</f>
        <v>Thursday</v>
      </c>
      <c r="F142" t="str">
        <f>TEXT(G142,"MMMM")</f>
        <v>November</v>
      </c>
      <c r="G142" s="3">
        <v>45232</v>
      </c>
      <c r="H142" s="4" t="s">
        <v>174</v>
      </c>
      <c r="I142" s="4" t="s">
        <v>3</v>
      </c>
      <c r="J142" s="4" t="str">
        <f>IF(K142&lt;30, "Young Adult","Adult")</f>
        <v>Young Adult</v>
      </c>
      <c r="K142" s="4">
        <v>22</v>
      </c>
      <c r="L142" s="4" t="s">
        <v>8</v>
      </c>
      <c r="M142" s="4">
        <v>1</v>
      </c>
      <c r="N142" s="5">
        <v>50</v>
      </c>
      <c r="O142">
        <f>(M142*N142)</f>
        <v>50</v>
      </c>
      <c r="P142">
        <f>O142*$S$3</f>
        <v>0.75</v>
      </c>
      <c r="Q142">
        <f>O142*$S$4</f>
        <v>1</v>
      </c>
    </row>
    <row r="143" spans="1:17">
      <c r="A143" s="2">
        <v>142</v>
      </c>
      <c r="B143" s="4">
        <f>DAY(G143)</f>
        <v>2</v>
      </c>
      <c r="C143">
        <f>MONTH(G143)</f>
        <v>2</v>
      </c>
      <c r="D143">
        <f>YEAR(G143)</f>
        <v>2023</v>
      </c>
      <c r="E143" t="str">
        <f>TEXT(G143,"DDDD")</f>
        <v>Thursday</v>
      </c>
      <c r="F143" t="str">
        <f>TEXT(G143,"MMMM")</f>
        <v>February</v>
      </c>
      <c r="G143" s="3">
        <v>44959</v>
      </c>
      <c r="H143" s="4" t="s">
        <v>175</v>
      </c>
      <c r="I143" s="4" t="s">
        <v>4</v>
      </c>
      <c r="J143" s="4" t="str">
        <f>IF(K143&lt;30, "Young Adult","Adult")</f>
        <v>Adult</v>
      </c>
      <c r="K143" s="4">
        <v>35</v>
      </c>
      <c r="L143" s="4" t="s">
        <v>8</v>
      </c>
      <c r="M143" s="4">
        <v>4</v>
      </c>
      <c r="N143" s="5">
        <v>300</v>
      </c>
      <c r="O143">
        <f>(M143*N143)</f>
        <v>1200</v>
      </c>
      <c r="P143">
        <f>O143*$S$3</f>
        <v>18</v>
      </c>
      <c r="Q143">
        <f>O143*$S$4</f>
        <v>24</v>
      </c>
    </row>
    <row r="144" spans="1:17">
      <c r="A144" s="2">
        <v>143</v>
      </c>
      <c r="B144" s="4">
        <f>DAY(G144)</f>
        <v>17</v>
      </c>
      <c r="C144">
        <f>MONTH(G144)</f>
        <v>7</v>
      </c>
      <c r="D144">
        <f>YEAR(G144)</f>
        <v>2023</v>
      </c>
      <c r="E144" t="str">
        <f>TEXT(G144,"DDDD")</f>
        <v>Monday</v>
      </c>
      <c r="F144" t="str">
        <f>TEXT(G144,"MMMM")</f>
        <v>July</v>
      </c>
      <c r="G144" s="3">
        <v>45124</v>
      </c>
      <c r="H144" s="4" t="s">
        <v>176</v>
      </c>
      <c r="I144" s="4" t="s">
        <v>3</v>
      </c>
      <c r="J144" s="4" t="str">
        <f>IF(K144&lt;30, "Young Adult","Adult")</f>
        <v>Adult</v>
      </c>
      <c r="K144" s="4">
        <v>45</v>
      </c>
      <c r="L144" s="4" t="s">
        <v>7</v>
      </c>
      <c r="M144" s="4">
        <v>1</v>
      </c>
      <c r="N144" s="5">
        <v>50</v>
      </c>
      <c r="O144">
        <f>(M144*N144)</f>
        <v>50</v>
      </c>
      <c r="P144">
        <f>O144*$S$3</f>
        <v>0.75</v>
      </c>
      <c r="Q144">
        <f>O144*$S$4</f>
        <v>1</v>
      </c>
    </row>
    <row r="145" spans="1:17">
      <c r="A145" s="2">
        <v>144</v>
      </c>
      <c r="B145" s="4">
        <f>DAY(G145)</f>
        <v>15</v>
      </c>
      <c r="C145">
        <f>MONTH(G145)</f>
        <v>7</v>
      </c>
      <c r="D145">
        <f>YEAR(G145)</f>
        <v>2023</v>
      </c>
      <c r="E145" t="str">
        <f>TEXT(G145,"DDDD")</f>
        <v>Saturday</v>
      </c>
      <c r="F145" t="str">
        <f>TEXT(G145,"MMMM")</f>
        <v>July</v>
      </c>
      <c r="G145" s="3">
        <v>45122</v>
      </c>
      <c r="H145" s="4" t="s">
        <v>177</v>
      </c>
      <c r="I145" s="4" t="s">
        <v>3</v>
      </c>
      <c r="J145" s="4" t="str" cm="1">
        <f t="array" ref="J145">_xlfn.IFS(K2&gt;=30,"Senior",K2&gt;=30,"Adult",K2&lt;30,"Young Adult")</f>
        <v>Senior</v>
      </c>
      <c r="K145" s="4">
        <v>59</v>
      </c>
      <c r="L145" s="4" t="s">
        <v>6</v>
      </c>
      <c r="M145" s="4">
        <v>3</v>
      </c>
      <c r="N145" s="5">
        <v>500</v>
      </c>
      <c r="O145">
        <f>(M145*N145)</f>
        <v>1500</v>
      </c>
      <c r="P145">
        <f>O145*$S$3</f>
        <v>22.5</v>
      </c>
      <c r="Q145">
        <f>O145*$S$4</f>
        <v>30</v>
      </c>
    </row>
    <row r="146" spans="1:17">
      <c r="A146" s="2">
        <v>145</v>
      </c>
      <c r="B146" s="4">
        <f>DAY(G146)</f>
        <v>2</v>
      </c>
      <c r="C146">
        <f>MONTH(G146)</f>
        <v>11</v>
      </c>
      <c r="D146">
        <f>YEAR(G146)</f>
        <v>2023</v>
      </c>
      <c r="E146" t="str">
        <f>TEXT(G146,"DDDD")</f>
        <v>Thursday</v>
      </c>
      <c r="F146" t="str">
        <f>TEXT(G146,"MMMM")</f>
        <v>November</v>
      </c>
      <c r="G146" s="3">
        <v>45232</v>
      </c>
      <c r="H146" s="4" t="s">
        <v>178</v>
      </c>
      <c r="I146" s="4" t="s">
        <v>3</v>
      </c>
      <c r="J146" s="4" t="str">
        <f>IF(K146&lt;30, "Young Adult","Adult")</f>
        <v>Adult</v>
      </c>
      <c r="K146" s="4">
        <v>39</v>
      </c>
      <c r="L146" s="4" t="s">
        <v>7</v>
      </c>
      <c r="M146" s="4">
        <v>3</v>
      </c>
      <c r="N146" s="5">
        <v>25</v>
      </c>
      <c r="O146">
        <f>(M146*N146)</f>
        <v>75</v>
      </c>
      <c r="P146">
        <f>O146*$S$3</f>
        <v>1.125</v>
      </c>
      <c r="Q146">
        <f>O146*$S$4</f>
        <v>1.5</v>
      </c>
    </row>
    <row r="147" spans="1:17">
      <c r="A147" s="2">
        <v>146</v>
      </c>
      <c r="B147" s="4">
        <f>DAY(G147)</f>
        <v>28</v>
      </c>
      <c r="C147">
        <f>MONTH(G147)</f>
        <v>8</v>
      </c>
      <c r="D147">
        <f>YEAR(G147)</f>
        <v>2023</v>
      </c>
      <c r="E147" t="str">
        <f>TEXT(G147,"DDDD")</f>
        <v>Monday</v>
      </c>
      <c r="F147" t="str">
        <f>TEXT(G147,"MMMM")</f>
        <v>August</v>
      </c>
      <c r="G147" s="3">
        <v>45166</v>
      </c>
      <c r="H147" s="4" t="s">
        <v>179</v>
      </c>
      <c r="I147" s="4" t="s">
        <v>4</v>
      </c>
      <c r="J147" s="4" t="str">
        <f>IF(K147&lt;30, "Young Adult","Adult")</f>
        <v>Adult</v>
      </c>
      <c r="K147" s="4">
        <v>38</v>
      </c>
      <c r="L147" s="4" t="s">
        <v>7</v>
      </c>
      <c r="M147" s="4">
        <v>4</v>
      </c>
      <c r="N147" s="5">
        <v>50</v>
      </c>
      <c r="O147">
        <f>(M147*N147)</f>
        <v>200</v>
      </c>
      <c r="P147">
        <f>O147*$S$3</f>
        <v>3</v>
      </c>
      <c r="Q147">
        <f>O147*$S$4</f>
        <v>4</v>
      </c>
    </row>
    <row r="148" spans="1:17">
      <c r="A148" s="2">
        <v>147</v>
      </c>
      <c r="B148" s="4">
        <f>DAY(G148)</f>
        <v>28</v>
      </c>
      <c r="C148">
        <f>MONTH(G148)</f>
        <v>9</v>
      </c>
      <c r="D148">
        <f>YEAR(G148)</f>
        <v>2023</v>
      </c>
      <c r="E148" t="str">
        <f>TEXT(G148,"DDDD")</f>
        <v>Thursday</v>
      </c>
      <c r="F148" t="str">
        <f>TEXT(G148,"MMMM")</f>
        <v>September</v>
      </c>
      <c r="G148" s="3">
        <v>45197</v>
      </c>
      <c r="H148" s="4" t="s">
        <v>180</v>
      </c>
      <c r="I148" s="4" t="s">
        <v>4</v>
      </c>
      <c r="J148" s="4" t="str">
        <f>IF(K148&lt;30, "Young Adult","Adult")</f>
        <v>Young Adult</v>
      </c>
      <c r="K148" s="4">
        <v>23</v>
      </c>
      <c r="L148" s="4" t="s">
        <v>8</v>
      </c>
      <c r="M148" s="4">
        <v>1</v>
      </c>
      <c r="N148" s="5">
        <v>300</v>
      </c>
      <c r="O148">
        <f>(M148*N148)</f>
        <v>300</v>
      </c>
      <c r="P148">
        <f>O148*$S$3</f>
        <v>4.5</v>
      </c>
      <c r="Q148">
        <f>O148*$S$4</f>
        <v>6</v>
      </c>
    </row>
    <row r="149" spans="1:17">
      <c r="A149" s="2">
        <v>148</v>
      </c>
      <c r="B149" s="4">
        <f>DAY(G149)</f>
        <v>9</v>
      </c>
      <c r="C149">
        <f>MONTH(G149)</f>
        <v>5</v>
      </c>
      <c r="D149">
        <f>YEAR(G149)</f>
        <v>2023</v>
      </c>
      <c r="E149" t="str">
        <f>TEXT(G149,"DDDD")</f>
        <v>Tuesday</v>
      </c>
      <c r="F149" t="str">
        <f>TEXT(G149,"MMMM")</f>
        <v>May</v>
      </c>
      <c r="G149" s="3">
        <v>45055</v>
      </c>
      <c r="H149" s="4" t="s">
        <v>181</v>
      </c>
      <c r="I149" s="4" t="s">
        <v>4</v>
      </c>
      <c r="J149" s="4" t="str">
        <f>IF(K149&lt;30, "Young Adult","Adult")</f>
        <v>Young Adult</v>
      </c>
      <c r="K149" s="4">
        <v>18</v>
      </c>
      <c r="L149" s="4" t="s">
        <v>7</v>
      </c>
      <c r="M149" s="4">
        <v>2</v>
      </c>
      <c r="N149" s="5">
        <v>30</v>
      </c>
      <c r="O149">
        <f>(M149*N149)</f>
        <v>60</v>
      </c>
      <c r="P149">
        <f>O149*$S$3</f>
        <v>0.89999999999999991</v>
      </c>
      <c r="Q149">
        <f>O149*$S$4</f>
        <v>1.2</v>
      </c>
    </row>
    <row r="150" spans="1:17">
      <c r="A150" s="2">
        <v>149</v>
      </c>
      <c r="B150" s="4">
        <f>DAY(G150)</f>
        <v>11</v>
      </c>
      <c r="C150">
        <f>MONTH(G150)</f>
        <v>10</v>
      </c>
      <c r="D150">
        <f>YEAR(G150)</f>
        <v>2023</v>
      </c>
      <c r="E150" t="str">
        <f>TEXT(G150,"DDDD")</f>
        <v>Wednesday</v>
      </c>
      <c r="F150" t="str">
        <f>TEXT(G150,"MMMM")</f>
        <v>October</v>
      </c>
      <c r="G150" s="3">
        <v>45210</v>
      </c>
      <c r="H150" s="4" t="s">
        <v>182</v>
      </c>
      <c r="I150" s="4" t="s">
        <v>4</v>
      </c>
      <c r="J150" s="4" t="str">
        <f>IF(K150&lt;30, "Young Adult","Adult")</f>
        <v>Young Adult</v>
      </c>
      <c r="K150" s="4">
        <v>22</v>
      </c>
      <c r="L150" s="4" t="s">
        <v>7</v>
      </c>
      <c r="M150" s="4">
        <v>3</v>
      </c>
      <c r="N150" s="5">
        <v>25</v>
      </c>
      <c r="O150">
        <f>(M150*N150)</f>
        <v>75</v>
      </c>
      <c r="P150">
        <f>O150*$S$3</f>
        <v>1.125</v>
      </c>
      <c r="Q150">
        <f>O150*$S$4</f>
        <v>1.5</v>
      </c>
    </row>
    <row r="151" spans="1:17">
      <c r="A151" s="2">
        <v>150</v>
      </c>
      <c r="B151" s="4">
        <f>DAY(G151)</f>
        <v>6</v>
      </c>
      <c r="C151">
        <f>MONTH(G151)</f>
        <v>1</v>
      </c>
      <c r="D151">
        <f>YEAR(G151)</f>
        <v>2023</v>
      </c>
      <c r="E151" t="str">
        <f>TEXT(G151,"DDDD")</f>
        <v>Friday</v>
      </c>
      <c r="F151" t="str">
        <f>TEXT(G151,"MMMM")</f>
        <v>January</v>
      </c>
      <c r="G151" s="3">
        <v>44932</v>
      </c>
      <c r="H151" s="4" t="s">
        <v>183</v>
      </c>
      <c r="I151" s="4" t="s">
        <v>3</v>
      </c>
      <c r="J151" s="4" t="str" cm="1">
        <f t="array" ref="J151">_xlfn.IFS(K2&gt;=30,"Senior",K2&gt;=30,"Adult",K2&lt;30,"Young Adult")</f>
        <v>Senior</v>
      </c>
      <c r="K151" s="4">
        <v>58</v>
      </c>
      <c r="L151" s="4" t="s">
        <v>8</v>
      </c>
      <c r="M151" s="4">
        <v>4</v>
      </c>
      <c r="N151" s="5">
        <v>30</v>
      </c>
      <c r="O151">
        <f>(M151*N151)</f>
        <v>120</v>
      </c>
      <c r="P151">
        <f>O151*$S$3</f>
        <v>1.7999999999999998</v>
      </c>
      <c r="Q151">
        <f>O151*$S$4</f>
        <v>2.4</v>
      </c>
    </row>
    <row r="152" spans="1:17">
      <c r="A152" s="2">
        <v>151</v>
      </c>
      <c r="B152" s="4">
        <f>DAY(G152)</f>
        <v>15</v>
      </c>
      <c r="C152">
        <f>MONTH(G152)</f>
        <v>12</v>
      </c>
      <c r="D152">
        <f>YEAR(G152)</f>
        <v>2023</v>
      </c>
      <c r="E152" t="str">
        <f>TEXT(G152,"DDDD")</f>
        <v>Friday</v>
      </c>
      <c r="F152" t="str">
        <f>TEXT(G152,"MMMM")</f>
        <v>December</v>
      </c>
      <c r="G152" s="3">
        <v>45275</v>
      </c>
      <c r="H152" s="4" t="s">
        <v>184</v>
      </c>
      <c r="I152" s="4" t="s">
        <v>4</v>
      </c>
      <c r="J152" s="4" t="str">
        <f>IF(K152&lt;30, "Young Adult","Adult")</f>
        <v>Young Adult</v>
      </c>
      <c r="K152" s="4">
        <v>29</v>
      </c>
      <c r="L152" s="4" t="s">
        <v>7</v>
      </c>
      <c r="M152" s="4">
        <v>1</v>
      </c>
      <c r="N152" s="5">
        <v>50</v>
      </c>
      <c r="O152">
        <f>(M152*N152)</f>
        <v>50</v>
      </c>
      <c r="P152">
        <f>O152*$S$3</f>
        <v>0.75</v>
      </c>
      <c r="Q152">
        <f>O152*$S$4</f>
        <v>1</v>
      </c>
    </row>
    <row r="153" spans="1:17">
      <c r="A153" s="2">
        <v>152</v>
      </c>
      <c r="B153" s="4">
        <f>DAY(G153)</f>
        <v>28</v>
      </c>
      <c r="C153">
        <f>MONTH(G153)</f>
        <v>2</v>
      </c>
      <c r="D153">
        <f>YEAR(G153)</f>
        <v>2023</v>
      </c>
      <c r="E153" t="str">
        <f>TEXT(G153,"DDDD")</f>
        <v>Tuesday</v>
      </c>
      <c r="F153" t="str">
        <f>TEXT(G153,"MMMM")</f>
        <v>February</v>
      </c>
      <c r="G153" s="3">
        <v>44985</v>
      </c>
      <c r="H153" s="4" t="s">
        <v>185</v>
      </c>
      <c r="I153" s="4" t="s">
        <v>4</v>
      </c>
      <c r="J153" s="4" t="str">
        <f>IF(K153&lt;30, "Young Adult","Adult")</f>
        <v>Adult</v>
      </c>
      <c r="K153" s="4">
        <v>43</v>
      </c>
      <c r="L153" s="4" t="s">
        <v>8</v>
      </c>
      <c r="M153" s="4">
        <v>4</v>
      </c>
      <c r="N153" s="5">
        <v>500</v>
      </c>
      <c r="O153">
        <f>(M153*N153)</f>
        <v>2000</v>
      </c>
      <c r="P153">
        <f>O153*$S$3</f>
        <v>30</v>
      </c>
      <c r="Q153">
        <f>O153*$S$4</f>
        <v>40</v>
      </c>
    </row>
    <row r="154" spans="1:17">
      <c r="A154" s="2">
        <v>153</v>
      </c>
      <c r="B154" s="4">
        <f>DAY(G154)</f>
        <v>16</v>
      </c>
      <c r="C154">
        <f>MONTH(G154)</f>
        <v>12</v>
      </c>
      <c r="D154">
        <f>YEAR(G154)</f>
        <v>2023</v>
      </c>
      <c r="E154" t="str">
        <f>TEXT(G154,"DDDD")</f>
        <v>Saturday</v>
      </c>
      <c r="F154" t="str">
        <f>TEXT(G154,"MMMM")</f>
        <v>December</v>
      </c>
      <c r="G154" s="3">
        <v>45276</v>
      </c>
      <c r="H154" s="4" t="s">
        <v>186</v>
      </c>
      <c r="I154" s="4" t="s">
        <v>4</v>
      </c>
      <c r="J154" s="4" t="str" cm="1">
        <f t="array" ref="J154">_xlfn.IFS(K2&gt;=30,"Senior",K2&gt;=30,"Adult",K2&lt;30,"Young Adult")</f>
        <v>Senior</v>
      </c>
      <c r="K154" s="4">
        <v>63</v>
      </c>
      <c r="L154" s="4" t="s">
        <v>8</v>
      </c>
      <c r="M154" s="4">
        <v>2</v>
      </c>
      <c r="N154" s="5">
        <v>500</v>
      </c>
      <c r="O154">
        <f>(M154*N154)</f>
        <v>1000</v>
      </c>
      <c r="P154">
        <f>O154*$S$3</f>
        <v>15</v>
      </c>
      <c r="Q154">
        <f>O154*$S$4</f>
        <v>20</v>
      </c>
    </row>
    <row r="155" spans="1:17">
      <c r="A155" s="2">
        <v>154</v>
      </c>
      <c r="B155" s="4">
        <f>DAY(G155)</f>
        <v>2</v>
      </c>
      <c r="C155">
        <f>MONTH(G155)</f>
        <v>10</v>
      </c>
      <c r="D155">
        <f>YEAR(G155)</f>
        <v>2023</v>
      </c>
      <c r="E155" t="str">
        <f>TEXT(G155,"DDDD")</f>
        <v>Monday</v>
      </c>
      <c r="F155" t="str">
        <f>TEXT(G155,"MMMM")</f>
        <v>October</v>
      </c>
      <c r="G155" s="3">
        <v>45201</v>
      </c>
      <c r="H155" s="4" t="s">
        <v>187</v>
      </c>
      <c r="I155" s="4" t="s">
        <v>4</v>
      </c>
      <c r="J155" s="4" t="str" cm="1">
        <f t="array" ref="J155">_xlfn.IFS(K2&gt;=30,"Senior",K2&gt;=30,"Adult",K2&lt;30,"Young Adult")</f>
        <v>Senior</v>
      </c>
      <c r="K155" s="4">
        <v>51</v>
      </c>
      <c r="L155" s="4" t="s">
        <v>8</v>
      </c>
      <c r="M155" s="4">
        <v>3</v>
      </c>
      <c r="N155" s="5">
        <v>300</v>
      </c>
      <c r="O155">
        <f>(M155*N155)</f>
        <v>900</v>
      </c>
      <c r="P155">
        <f>O155*$S$3</f>
        <v>13.5</v>
      </c>
      <c r="Q155">
        <f>O155*$S$4</f>
        <v>18</v>
      </c>
    </row>
    <row r="156" spans="1:17">
      <c r="A156" s="2">
        <v>155</v>
      </c>
      <c r="B156" s="4">
        <f>DAY(G156)</f>
        <v>17</v>
      </c>
      <c r="C156">
        <f>MONTH(G156)</f>
        <v>5</v>
      </c>
      <c r="D156">
        <f>YEAR(G156)</f>
        <v>2023</v>
      </c>
      <c r="E156" t="str">
        <f>TEXT(G156,"DDDD")</f>
        <v>Wednesday</v>
      </c>
      <c r="F156" t="str">
        <f>TEXT(G156,"MMMM")</f>
        <v>May</v>
      </c>
      <c r="G156" s="3">
        <v>45063</v>
      </c>
      <c r="H156" s="4" t="s">
        <v>188</v>
      </c>
      <c r="I156" s="4" t="s">
        <v>4</v>
      </c>
      <c r="J156" s="4" t="str">
        <f>IF(K156&lt;30, "Young Adult","Adult")</f>
        <v>Adult</v>
      </c>
      <c r="K156" s="4">
        <v>31</v>
      </c>
      <c r="L156" s="4" t="s">
        <v>8</v>
      </c>
      <c r="M156" s="4">
        <v>4</v>
      </c>
      <c r="N156" s="5">
        <v>500</v>
      </c>
      <c r="O156">
        <f>(M156*N156)</f>
        <v>2000</v>
      </c>
      <c r="P156">
        <f>O156*$S$3</f>
        <v>30</v>
      </c>
      <c r="Q156">
        <f>O156*$S$4</f>
        <v>40</v>
      </c>
    </row>
    <row r="157" spans="1:17">
      <c r="A157" s="2">
        <v>156</v>
      </c>
      <c r="B157" s="4">
        <f>DAY(G157)</f>
        <v>25</v>
      </c>
      <c r="C157">
        <f>MONTH(G157)</f>
        <v>11</v>
      </c>
      <c r="D157">
        <f>YEAR(G157)</f>
        <v>2023</v>
      </c>
      <c r="E157" t="str">
        <f>TEXT(G157,"DDDD")</f>
        <v>Saturday</v>
      </c>
      <c r="F157" t="str">
        <f>TEXT(G157,"MMMM")</f>
        <v>November</v>
      </c>
      <c r="G157" s="3">
        <v>45255</v>
      </c>
      <c r="H157" s="4" t="s">
        <v>189</v>
      </c>
      <c r="I157" s="4" t="s">
        <v>3</v>
      </c>
      <c r="J157" s="4" t="str">
        <f>IF(K157&lt;30, "Young Adult","Adult")</f>
        <v>Adult</v>
      </c>
      <c r="K157" s="4">
        <v>43</v>
      </c>
      <c r="L157" s="4" t="s">
        <v>7</v>
      </c>
      <c r="M157" s="4">
        <v>4</v>
      </c>
      <c r="N157" s="5">
        <v>25</v>
      </c>
      <c r="O157">
        <f>(M157*N157)</f>
        <v>100</v>
      </c>
      <c r="P157">
        <f>O157*$S$3</f>
        <v>1.5</v>
      </c>
      <c r="Q157">
        <f>O157*$S$4</f>
        <v>2</v>
      </c>
    </row>
    <row r="158" spans="1:17">
      <c r="A158" s="2">
        <v>157</v>
      </c>
      <c r="B158" s="4">
        <f>DAY(G158)</f>
        <v>24</v>
      </c>
      <c r="C158">
        <f>MONTH(G158)</f>
        <v>6</v>
      </c>
      <c r="D158">
        <f>YEAR(G158)</f>
        <v>2023</v>
      </c>
      <c r="E158" t="str">
        <f>TEXT(G158,"DDDD")</f>
        <v>Saturday</v>
      </c>
      <c r="F158" t="str">
        <f>TEXT(G158,"MMMM")</f>
        <v>June</v>
      </c>
      <c r="G158" s="3">
        <v>45101</v>
      </c>
      <c r="H158" s="4" t="s">
        <v>190</v>
      </c>
      <c r="I158" s="4" t="s">
        <v>4</v>
      </c>
      <c r="J158" s="4" t="str" cm="1">
        <f t="array" ref="J158">_xlfn.IFS(K2&gt;=30,"Senior",K2&gt;=30,"Adult",K2&lt;30,"Young Adult")</f>
        <v>Senior</v>
      </c>
      <c r="K158" s="4">
        <v>62</v>
      </c>
      <c r="L158" s="4" t="s">
        <v>8</v>
      </c>
      <c r="M158" s="4">
        <v>4</v>
      </c>
      <c r="N158" s="5">
        <v>500</v>
      </c>
      <c r="O158">
        <f>(M158*N158)</f>
        <v>2000</v>
      </c>
      <c r="P158">
        <f>O158*$S$3</f>
        <v>30</v>
      </c>
      <c r="Q158">
        <f>O158*$S$4</f>
        <v>40</v>
      </c>
    </row>
    <row r="159" spans="1:17">
      <c r="A159" s="2">
        <v>158</v>
      </c>
      <c r="B159" s="4">
        <f>DAY(G159)</f>
        <v>27</v>
      </c>
      <c r="C159">
        <f>MONTH(G159)</f>
        <v>2</v>
      </c>
      <c r="D159">
        <f>YEAR(G159)</f>
        <v>2023</v>
      </c>
      <c r="E159" t="str">
        <f>TEXT(G159,"DDDD")</f>
        <v>Monday</v>
      </c>
      <c r="F159" t="str">
        <f>TEXT(G159,"MMMM")</f>
        <v>February</v>
      </c>
      <c r="G159" s="3">
        <v>44984</v>
      </c>
      <c r="H159" s="4" t="s">
        <v>191</v>
      </c>
      <c r="I159" s="4" t="s">
        <v>3</v>
      </c>
      <c r="J159" s="4" t="str">
        <f>IF(K159&lt;30, "Young Adult","Adult")</f>
        <v>Adult</v>
      </c>
      <c r="K159" s="4">
        <v>44</v>
      </c>
      <c r="L159" s="4" t="s">
        <v>8</v>
      </c>
      <c r="M159" s="4">
        <v>2</v>
      </c>
      <c r="N159" s="5">
        <v>300</v>
      </c>
      <c r="O159">
        <f>(M159*N159)</f>
        <v>600</v>
      </c>
      <c r="P159">
        <f>O159*$S$3</f>
        <v>9</v>
      </c>
      <c r="Q159">
        <f>O159*$S$4</f>
        <v>12</v>
      </c>
    </row>
    <row r="160" spans="1:17">
      <c r="A160" s="2">
        <v>159</v>
      </c>
      <c r="B160" s="4">
        <f>DAY(G160)</f>
        <v>31</v>
      </c>
      <c r="C160">
        <f>MONTH(G160)</f>
        <v>5</v>
      </c>
      <c r="D160">
        <f>YEAR(G160)</f>
        <v>2023</v>
      </c>
      <c r="E160" t="str">
        <f>TEXT(G160,"DDDD")</f>
        <v>Wednesday</v>
      </c>
      <c r="F160" t="str">
        <f>TEXT(G160,"MMMM")</f>
        <v>May</v>
      </c>
      <c r="G160" s="3">
        <v>45077</v>
      </c>
      <c r="H160" s="4" t="s">
        <v>192</v>
      </c>
      <c r="I160" s="4" t="s">
        <v>4</v>
      </c>
      <c r="J160" s="4" t="str">
        <f>IF(K160&lt;30, "Young Adult","Adult")</f>
        <v>Young Adult</v>
      </c>
      <c r="K160" s="4">
        <v>26</v>
      </c>
      <c r="L160" s="4" t="s">
        <v>7</v>
      </c>
      <c r="M160" s="4">
        <v>4</v>
      </c>
      <c r="N160" s="5">
        <v>50</v>
      </c>
      <c r="O160">
        <f>(M160*N160)</f>
        <v>200</v>
      </c>
      <c r="P160">
        <f>O160*$S$3</f>
        <v>3</v>
      </c>
      <c r="Q160">
        <f>O160*$S$4</f>
        <v>4</v>
      </c>
    </row>
    <row r="161" spans="1:17">
      <c r="A161" s="2">
        <v>160</v>
      </c>
      <c r="B161" s="4">
        <f>DAY(G161)</f>
        <v>11</v>
      </c>
      <c r="C161">
        <f>MONTH(G161)</f>
        <v>8</v>
      </c>
      <c r="D161">
        <f>YEAR(G161)</f>
        <v>2023</v>
      </c>
      <c r="E161" t="str">
        <f>TEXT(G161,"DDDD")</f>
        <v>Friday</v>
      </c>
      <c r="F161" t="str">
        <f>TEXT(G161,"MMMM")</f>
        <v>August</v>
      </c>
      <c r="G161" s="3">
        <v>45149</v>
      </c>
      <c r="H161" s="4" t="s">
        <v>193</v>
      </c>
      <c r="I161" s="4" t="s">
        <v>3</v>
      </c>
      <c r="J161" s="4" t="str">
        <f>IF(K161&lt;30, "Young Adult","Adult")</f>
        <v>Adult</v>
      </c>
      <c r="K161" s="4">
        <v>43</v>
      </c>
      <c r="L161" s="4" t="s">
        <v>7</v>
      </c>
      <c r="M161" s="4">
        <v>2</v>
      </c>
      <c r="N161" s="5">
        <v>50</v>
      </c>
      <c r="O161">
        <f>(M161*N161)</f>
        <v>100</v>
      </c>
      <c r="P161">
        <f>O161*$S$3</f>
        <v>1.5</v>
      </c>
      <c r="Q161">
        <f>O161*$S$4</f>
        <v>2</v>
      </c>
    </row>
    <row r="162" spans="1:17">
      <c r="A162" s="2">
        <v>161</v>
      </c>
      <c r="B162" s="4">
        <f>DAY(G162)</f>
        <v>22</v>
      </c>
      <c r="C162">
        <f>MONTH(G162)</f>
        <v>3</v>
      </c>
      <c r="D162">
        <f>YEAR(G162)</f>
        <v>2023</v>
      </c>
      <c r="E162" t="str">
        <f>TEXT(G162,"DDDD")</f>
        <v>Wednesday</v>
      </c>
      <c r="F162" t="str">
        <f>TEXT(G162,"MMMM")</f>
        <v>March</v>
      </c>
      <c r="G162" s="3">
        <v>45007</v>
      </c>
      <c r="H162" s="4" t="s">
        <v>194</v>
      </c>
      <c r="I162" s="4" t="s">
        <v>4</v>
      </c>
      <c r="J162" s="4" t="str" cm="1">
        <f t="array" ref="J162">_xlfn.IFS(K2&gt;=30,"Senior",K2&gt;=30,"Adult",K2&lt;30,"Young Adult")</f>
        <v>Senior</v>
      </c>
      <c r="K162" s="4">
        <v>64</v>
      </c>
      <c r="L162" s="4" t="s">
        <v>6</v>
      </c>
      <c r="M162" s="4">
        <v>2</v>
      </c>
      <c r="N162" s="5">
        <v>500</v>
      </c>
      <c r="O162">
        <f>(M162*N162)</f>
        <v>1000</v>
      </c>
      <c r="P162">
        <f>O162*$S$3</f>
        <v>15</v>
      </c>
      <c r="Q162">
        <f>O162*$S$4</f>
        <v>20</v>
      </c>
    </row>
    <row r="163" spans="1:17">
      <c r="A163" s="2">
        <v>162</v>
      </c>
      <c r="B163" s="4">
        <f>DAY(G163)</f>
        <v>21</v>
      </c>
      <c r="C163">
        <f>MONTH(G163)</f>
        <v>8</v>
      </c>
      <c r="D163">
        <f>YEAR(G163)</f>
        <v>2023</v>
      </c>
      <c r="E163" t="str">
        <f>TEXT(G163,"DDDD")</f>
        <v>Monday</v>
      </c>
      <c r="F163" t="str">
        <f>TEXT(G163,"MMMM")</f>
        <v>August</v>
      </c>
      <c r="G163" s="3">
        <v>45159</v>
      </c>
      <c r="H163" s="4" t="s">
        <v>195</v>
      </c>
      <c r="I163" s="4" t="s">
        <v>4</v>
      </c>
      <c r="J163" s="4" t="str">
        <f>IF(K163&lt;30, "Young Adult","Adult")</f>
        <v>Adult</v>
      </c>
      <c r="K163" s="4">
        <v>39</v>
      </c>
      <c r="L163" s="4" t="s">
        <v>7</v>
      </c>
      <c r="M163" s="4">
        <v>2</v>
      </c>
      <c r="N163" s="5">
        <v>30</v>
      </c>
      <c r="O163">
        <f>(M163*N163)</f>
        <v>60</v>
      </c>
      <c r="P163">
        <f>O163*$S$3</f>
        <v>0.89999999999999991</v>
      </c>
      <c r="Q163">
        <f>O163*$S$4</f>
        <v>1.2</v>
      </c>
    </row>
    <row r="164" spans="1:17">
      <c r="A164" s="2">
        <v>163</v>
      </c>
      <c r="B164" s="4">
        <f>DAY(G164)</f>
        <v>2</v>
      </c>
      <c r="C164">
        <f>MONTH(G164)</f>
        <v>1</v>
      </c>
      <c r="D164">
        <f>YEAR(G164)</f>
        <v>2023</v>
      </c>
      <c r="E164" t="str">
        <f>TEXT(G164,"DDDD")</f>
        <v>Monday</v>
      </c>
      <c r="F164" t="str">
        <f>TEXT(G164,"MMMM")</f>
        <v>January</v>
      </c>
      <c r="G164" s="3">
        <v>44928</v>
      </c>
      <c r="H164" s="4" t="s">
        <v>196</v>
      </c>
      <c r="I164" s="4" t="s">
        <v>3</v>
      </c>
      <c r="J164" s="4" t="str" cm="1">
        <f t="array" ref="J164">_xlfn.IFS(K2&gt;=30,"Senior",K2&gt;=30,"Adult",K2&lt;30,"Young Adult")</f>
        <v>Senior</v>
      </c>
      <c r="K164" s="4">
        <v>64</v>
      </c>
      <c r="L164" s="4" t="s">
        <v>7</v>
      </c>
      <c r="M164" s="4">
        <v>3</v>
      </c>
      <c r="N164" s="5">
        <v>50</v>
      </c>
      <c r="O164">
        <f>(M164*N164)</f>
        <v>150</v>
      </c>
      <c r="P164">
        <f>O164*$S$3</f>
        <v>2.25</v>
      </c>
      <c r="Q164">
        <f>O164*$S$4</f>
        <v>3</v>
      </c>
    </row>
    <row r="165" spans="1:17">
      <c r="A165" s="2">
        <v>164</v>
      </c>
      <c r="B165" s="4">
        <f>DAY(G165)</f>
        <v>15</v>
      </c>
      <c r="C165">
        <f>MONTH(G165)</f>
        <v>5</v>
      </c>
      <c r="D165">
        <f>YEAR(G165)</f>
        <v>2023</v>
      </c>
      <c r="E165" t="str">
        <f>TEXT(G165,"DDDD")</f>
        <v>Monday</v>
      </c>
      <c r="F165" t="str">
        <f>TEXT(G165,"MMMM")</f>
        <v>May</v>
      </c>
      <c r="G165" s="3">
        <v>45061</v>
      </c>
      <c r="H165" s="4" t="s">
        <v>197</v>
      </c>
      <c r="I165" s="4" t="s">
        <v>3</v>
      </c>
      <c r="J165" s="4" t="str">
        <f>IF(K165&lt;30, "Young Adult","Adult")</f>
        <v>Adult</v>
      </c>
      <c r="K165" s="4">
        <v>47</v>
      </c>
      <c r="L165" s="4" t="s">
        <v>6</v>
      </c>
      <c r="M165" s="4">
        <v>3</v>
      </c>
      <c r="N165" s="5">
        <v>500</v>
      </c>
      <c r="O165">
        <f>(M165*N165)</f>
        <v>1500</v>
      </c>
      <c r="P165">
        <f>O165*$S$3</f>
        <v>22.5</v>
      </c>
      <c r="Q165">
        <f>O165*$S$4</f>
        <v>30</v>
      </c>
    </row>
    <row r="166" spans="1:17">
      <c r="A166" s="2">
        <v>165</v>
      </c>
      <c r="B166" s="4">
        <f>DAY(G166)</f>
        <v>14</v>
      </c>
      <c r="C166">
        <f>MONTH(G166)</f>
        <v>9</v>
      </c>
      <c r="D166">
        <f>YEAR(G166)</f>
        <v>2023</v>
      </c>
      <c r="E166" t="str">
        <f>TEXT(G166,"DDDD")</f>
        <v>Thursday</v>
      </c>
      <c r="F166" t="str">
        <f>TEXT(G166,"MMMM")</f>
        <v>September</v>
      </c>
      <c r="G166" s="3">
        <v>45183</v>
      </c>
      <c r="H166" s="4" t="s">
        <v>198</v>
      </c>
      <c r="I166" s="4" t="s">
        <v>3</v>
      </c>
      <c r="J166" s="4" t="str" cm="1">
        <f t="array" ref="J166">_xlfn.IFS(K2&gt;=30,"Senior",K2&gt;=30,"Adult",K2&lt;30,"Young Adult")</f>
        <v>Senior</v>
      </c>
      <c r="K166" s="4">
        <v>60</v>
      </c>
      <c r="L166" s="4" t="s">
        <v>7</v>
      </c>
      <c r="M166" s="4">
        <v>4</v>
      </c>
      <c r="N166" s="5">
        <v>300</v>
      </c>
      <c r="O166">
        <f>(M166*N166)</f>
        <v>1200</v>
      </c>
      <c r="P166">
        <f>O166*$S$3</f>
        <v>18</v>
      </c>
      <c r="Q166">
        <f>O166*$S$4</f>
        <v>24</v>
      </c>
    </row>
    <row r="167" spans="1:17">
      <c r="A167" s="2">
        <v>166</v>
      </c>
      <c r="B167" s="4">
        <f>DAY(G167)</f>
        <v>2</v>
      </c>
      <c r="C167">
        <f>MONTH(G167)</f>
        <v>4</v>
      </c>
      <c r="D167">
        <f>YEAR(G167)</f>
        <v>2023</v>
      </c>
      <c r="E167" t="str">
        <f>TEXT(G167,"DDDD")</f>
        <v>Sunday</v>
      </c>
      <c r="F167" t="str">
        <f>TEXT(G167,"MMMM")</f>
        <v>April</v>
      </c>
      <c r="G167" s="3">
        <v>45018</v>
      </c>
      <c r="H167" s="4" t="s">
        <v>199</v>
      </c>
      <c r="I167" s="4" t="s">
        <v>4</v>
      </c>
      <c r="J167" s="4" t="str">
        <f>IF(K167&lt;30, "Young Adult","Adult")</f>
        <v>Adult</v>
      </c>
      <c r="K167" s="4">
        <v>34</v>
      </c>
      <c r="L167" s="4" t="s">
        <v>7</v>
      </c>
      <c r="M167" s="4">
        <v>4</v>
      </c>
      <c r="N167" s="5">
        <v>500</v>
      </c>
      <c r="O167">
        <f>(M167*N167)</f>
        <v>2000</v>
      </c>
      <c r="P167">
        <f>O167*$S$3</f>
        <v>30</v>
      </c>
      <c r="Q167">
        <f>O167*$S$4</f>
        <v>40</v>
      </c>
    </row>
    <row r="168" spans="1:17">
      <c r="A168" s="2">
        <v>167</v>
      </c>
      <c r="B168" s="4">
        <f>DAY(G168)</f>
        <v>17</v>
      </c>
      <c r="C168">
        <f>MONTH(G168)</f>
        <v>9</v>
      </c>
      <c r="D168">
        <f>YEAR(G168)</f>
        <v>2023</v>
      </c>
      <c r="E168" t="str">
        <f>TEXT(G168,"DDDD")</f>
        <v>Sunday</v>
      </c>
      <c r="F168" t="str">
        <f>TEXT(G168,"MMMM")</f>
        <v>September</v>
      </c>
      <c r="G168" s="3">
        <v>45186</v>
      </c>
      <c r="H168" s="4" t="s">
        <v>200</v>
      </c>
      <c r="I168" s="4" t="s">
        <v>3</v>
      </c>
      <c r="J168" s="4" t="str">
        <f>IF(K168&lt;30, "Young Adult","Adult")</f>
        <v>Adult</v>
      </c>
      <c r="K168" s="4">
        <v>43</v>
      </c>
      <c r="L168" s="4" t="s">
        <v>7</v>
      </c>
      <c r="M168" s="4">
        <v>3</v>
      </c>
      <c r="N168" s="5">
        <v>50</v>
      </c>
      <c r="O168">
        <f>(M168*N168)</f>
        <v>150</v>
      </c>
      <c r="P168">
        <f>O168*$S$3</f>
        <v>2.25</v>
      </c>
      <c r="Q168">
        <f>O168*$S$4</f>
        <v>3</v>
      </c>
    </row>
    <row r="169" spans="1:17">
      <c r="A169" s="2">
        <v>168</v>
      </c>
      <c r="B169" s="4">
        <f>DAY(G169)</f>
        <v>24</v>
      </c>
      <c r="C169">
        <f>MONTH(G169)</f>
        <v>2</v>
      </c>
      <c r="D169">
        <f>YEAR(G169)</f>
        <v>2023</v>
      </c>
      <c r="E169" t="str">
        <f>TEXT(G169,"DDDD")</f>
        <v>Friday</v>
      </c>
      <c r="F169" t="str">
        <f>TEXT(G169,"MMMM")</f>
        <v>February</v>
      </c>
      <c r="G169" s="3">
        <v>44981</v>
      </c>
      <c r="H169" s="4" t="s">
        <v>201</v>
      </c>
      <c r="I169" s="4" t="s">
        <v>4</v>
      </c>
      <c r="J169" s="4" t="str" cm="1">
        <f t="array" ref="J169">_xlfn.IFS(K2&gt;=30,"Senior",K2&gt;=30,"Adult",K2&lt;30,"Young Adult")</f>
        <v>Senior</v>
      </c>
      <c r="K169" s="4">
        <v>53</v>
      </c>
      <c r="L169" s="4" t="s">
        <v>7</v>
      </c>
      <c r="M169" s="4">
        <v>1</v>
      </c>
      <c r="N169" s="5">
        <v>300</v>
      </c>
      <c r="O169">
        <f>(M169*N169)</f>
        <v>300</v>
      </c>
      <c r="P169">
        <f>O169*$S$3</f>
        <v>4.5</v>
      </c>
      <c r="Q169">
        <f>O169*$S$4</f>
        <v>6</v>
      </c>
    </row>
    <row r="170" spans="1:17">
      <c r="A170" s="2">
        <v>169</v>
      </c>
      <c r="B170" s="4">
        <f>DAY(G170)</f>
        <v>17</v>
      </c>
      <c r="C170">
        <f>MONTH(G170)</f>
        <v>11</v>
      </c>
      <c r="D170">
        <f>YEAR(G170)</f>
        <v>2023</v>
      </c>
      <c r="E170" t="str">
        <f>TEXT(G170,"DDDD")</f>
        <v>Friday</v>
      </c>
      <c r="F170" t="str">
        <f>TEXT(G170,"MMMM")</f>
        <v>November</v>
      </c>
      <c r="G170" s="3">
        <v>45247</v>
      </c>
      <c r="H170" s="4" t="s">
        <v>202</v>
      </c>
      <c r="I170" s="4" t="s">
        <v>4</v>
      </c>
      <c r="J170" s="4" t="str">
        <f>IF(K170&lt;30, "Young Adult","Adult")</f>
        <v>Young Adult</v>
      </c>
      <c r="K170" s="4">
        <v>18</v>
      </c>
      <c r="L170" s="4" t="s">
        <v>6</v>
      </c>
      <c r="M170" s="4">
        <v>3</v>
      </c>
      <c r="N170" s="5">
        <v>500</v>
      </c>
      <c r="O170">
        <f>(M170*N170)</f>
        <v>1500</v>
      </c>
      <c r="P170">
        <f>O170*$S$3</f>
        <v>22.5</v>
      </c>
      <c r="Q170">
        <f>O170*$S$4</f>
        <v>30</v>
      </c>
    </row>
    <row r="171" spans="1:17">
      <c r="A171" s="2">
        <v>170</v>
      </c>
      <c r="B171" s="4">
        <f>DAY(G171)</f>
        <v>2</v>
      </c>
      <c r="C171">
        <f>MONTH(G171)</f>
        <v>6</v>
      </c>
      <c r="D171">
        <f>YEAR(G171)</f>
        <v>2023</v>
      </c>
      <c r="E171" t="str">
        <f>TEXT(G171,"DDDD")</f>
        <v>Friday</v>
      </c>
      <c r="F171" t="str">
        <f>TEXT(G171,"MMMM")</f>
        <v>June</v>
      </c>
      <c r="G171" s="3">
        <v>45079</v>
      </c>
      <c r="H171" s="4" t="s">
        <v>203</v>
      </c>
      <c r="I171" s="4" t="s">
        <v>3</v>
      </c>
      <c r="J171" s="4" t="str">
        <f>IF(K171&lt;30, "Young Adult","Adult")</f>
        <v>Young Adult</v>
      </c>
      <c r="K171" s="4">
        <v>25</v>
      </c>
      <c r="L171" s="4" t="s">
        <v>7</v>
      </c>
      <c r="M171" s="4">
        <v>2</v>
      </c>
      <c r="N171" s="5">
        <v>25</v>
      </c>
      <c r="O171">
        <f>(M171*N171)</f>
        <v>50</v>
      </c>
      <c r="P171">
        <f>O171*$S$3</f>
        <v>0.75</v>
      </c>
      <c r="Q171">
        <f>O171*$S$4</f>
        <v>1</v>
      </c>
    </row>
    <row r="172" spans="1:17">
      <c r="A172" s="2">
        <v>171</v>
      </c>
      <c r="B172" s="4">
        <f>DAY(G172)</f>
        <v>24</v>
      </c>
      <c r="C172">
        <f>MONTH(G172)</f>
        <v>11</v>
      </c>
      <c r="D172">
        <f>YEAR(G172)</f>
        <v>2023</v>
      </c>
      <c r="E172" t="str">
        <f>TEXT(G172,"DDDD")</f>
        <v>Friday</v>
      </c>
      <c r="F172" t="str">
        <f>TEXT(G172,"MMMM")</f>
        <v>November</v>
      </c>
      <c r="G172" s="3">
        <v>45254</v>
      </c>
      <c r="H172" s="4" t="s">
        <v>204</v>
      </c>
      <c r="I172" s="4" t="s">
        <v>3</v>
      </c>
      <c r="J172" s="4" t="str" cm="1">
        <f t="array" ref="J172">_xlfn.IFS(K2&gt;=30,"Senior",K2&gt;=30,"Adult",K2&lt;30,"Young Adult")</f>
        <v>Senior</v>
      </c>
      <c r="K172" s="4">
        <v>52</v>
      </c>
      <c r="L172" s="4" t="s">
        <v>7</v>
      </c>
      <c r="M172" s="4">
        <v>3</v>
      </c>
      <c r="N172" s="5">
        <v>300</v>
      </c>
      <c r="O172">
        <f>(M172*N172)</f>
        <v>900</v>
      </c>
      <c r="P172">
        <f>O172*$S$3</f>
        <v>13.5</v>
      </c>
      <c r="Q172">
        <f>O172*$S$4</f>
        <v>18</v>
      </c>
    </row>
    <row r="173" spans="1:17">
      <c r="A173" s="2">
        <v>172</v>
      </c>
      <c r="B173" s="4">
        <f>DAY(G173)</f>
        <v>17</v>
      </c>
      <c r="C173">
        <f>MONTH(G173)</f>
        <v>9</v>
      </c>
      <c r="D173">
        <f>YEAR(G173)</f>
        <v>2023</v>
      </c>
      <c r="E173" t="str">
        <f>TEXT(G173,"DDDD")</f>
        <v>Sunday</v>
      </c>
      <c r="F173" t="str">
        <f>TEXT(G173,"MMMM")</f>
        <v>September</v>
      </c>
      <c r="G173" s="3">
        <v>45186</v>
      </c>
      <c r="H173" s="4" t="s">
        <v>205</v>
      </c>
      <c r="I173" s="4" t="s">
        <v>4</v>
      </c>
      <c r="J173" s="4" t="str">
        <f>IF(K173&lt;30, "Young Adult","Adult")</f>
        <v>Adult</v>
      </c>
      <c r="K173" s="4">
        <v>32</v>
      </c>
      <c r="L173" s="4" t="s">
        <v>6</v>
      </c>
      <c r="M173" s="4">
        <v>2</v>
      </c>
      <c r="N173" s="5">
        <v>25</v>
      </c>
      <c r="O173">
        <f>(M173*N173)</f>
        <v>50</v>
      </c>
      <c r="P173">
        <f>O173*$S$3</f>
        <v>0.75</v>
      </c>
      <c r="Q173">
        <f>O173*$S$4</f>
        <v>1</v>
      </c>
    </row>
    <row r="174" spans="1:17">
      <c r="A174" s="2">
        <v>173</v>
      </c>
      <c r="B174" s="4">
        <f>DAY(G174)</f>
        <v>8</v>
      </c>
      <c r="C174">
        <f>MONTH(G174)</f>
        <v>11</v>
      </c>
      <c r="D174">
        <f>YEAR(G174)</f>
        <v>2023</v>
      </c>
      <c r="E174" t="str">
        <f>TEXT(G174,"DDDD")</f>
        <v>Wednesday</v>
      </c>
      <c r="F174" t="str">
        <f>TEXT(G174,"MMMM")</f>
        <v>November</v>
      </c>
      <c r="G174" s="3">
        <v>45238</v>
      </c>
      <c r="H174" s="4" t="s">
        <v>206</v>
      </c>
      <c r="I174" s="4" t="s">
        <v>4</v>
      </c>
      <c r="J174" s="4" t="str" cm="1">
        <f t="array" ref="J174">_xlfn.IFS(K2&gt;=30,"Senior",K2&gt;=30,"Adult",K2&lt;30,"Young Adult")</f>
        <v>Senior</v>
      </c>
      <c r="K174" s="4">
        <v>64</v>
      </c>
      <c r="L174" s="4" t="s">
        <v>8</v>
      </c>
      <c r="M174" s="4">
        <v>4</v>
      </c>
      <c r="N174" s="5">
        <v>30</v>
      </c>
      <c r="O174">
        <f>(M174*N174)</f>
        <v>120</v>
      </c>
      <c r="P174">
        <f>O174*$S$3</f>
        <v>1.7999999999999998</v>
      </c>
      <c r="Q174">
        <f>O174*$S$4</f>
        <v>2.4</v>
      </c>
    </row>
    <row r="175" spans="1:17">
      <c r="A175" s="2">
        <v>174</v>
      </c>
      <c r="B175" s="4">
        <f>DAY(G175)</f>
        <v>12</v>
      </c>
      <c r="C175">
        <f>MONTH(G175)</f>
        <v>4</v>
      </c>
      <c r="D175">
        <f>YEAR(G175)</f>
        <v>2023</v>
      </c>
      <c r="E175" t="str">
        <f>TEXT(G175,"DDDD")</f>
        <v>Wednesday</v>
      </c>
      <c r="F175" t="str">
        <f>TEXT(G175,"MMMM")</f>
        <v>April</v>
      </c>
      <c r="G175" s="3">
        <v>45028</v>
      </c>
      <c r="H175" s="4" t="s">
        <v>207</v>
      </c>
      <c r="I175" s="4" t="s">
        <v>3</v>
      </c>
      <c r="J175" s="4" t="str">
        <f>IF(K175&lt;30, "Young Adult","Adult")</f>
        <v>Adult</v>
      </c>
      <c r="K175" s="4">
        <v>39</v>
      </c>
      <c r="L175" s="4" t="s">
        <v>6</v>
      </c>
      <c r="M175" s="4">
        <v>1</v>
      </c>
      <c r="N175" s="5">
        <v>300</v>
      </c>
      <c r="O175">
        <f>(M175*N175)</f>
        <v>300</v>
      </c>
      <c r="P175">
        <f>O175*$S$3</f>
        <v>4.5</v>
      </c>
      <c r="Q175">
        <f>O175*$S$4</f>
        <v>6</v>
      </c>
    </row>
    <row r="176" spans="1:17">
      <c r="A176" s="2">
        <v>175</v>
      </c>
      <c r="B176" s="4">
        <f>DAY(G176)</f>
        <v>20</v>
      </c>
      <c r="C176">
        <f>MONTH(G176)</f>
        <v>3</v>
      </c>
      <c r="D176">
        <f>YEAR(G176)</f>
        <v>2023</v>
      </c>
      <c r="E176" t="str">
        <f>TEXT(G176,"DDDD")</f>
        <v>Monday</v>
      </c>
      <c r="F176" t="str">
        <f>TEXT(G176,"MMMM")</f>
        <v>March</v>
      </c>
      <c r="G176" s="3">
        <v>45005</v>
      </c>
      <c r="H176" s="4" t="s">
        <v>208</v>
      </c>
      <c r="I176" s="4" t="s">
        <v>3</v>
      </c>
      <c r="J176" s="4" t="str">
        <f>IF(K176&lt;30, "Young Adult","Adult")</f>
        <v>Adult</v>
      </c>
      <c r="K176" s="4">
        <v>31</v>
      </c>
      <c r="L176" s="4" t="s">
        <v>8</v>
      </c>
      <c r="M176" s="4">
        <v>4</v>
      </c>
      <c r="N176" s="5">
        <v>25</v>
      </c>
      <c r="O176">
        <f>(M176*N176)</f>
        <v>100</v>
      </c>
      <c r="P176">
        <f>O176*$S$3</f>
        <v>1.5</v>
      </c>
      <c r="Q176">
        <f>O176*$S$4</f>
        <v>2</v>
      </c>
    </row>
    <row r="177" spans="1:17">
      <c r="A177" s="2">
        <v>176</v>
      </c>
      <c r="B177" s="4">
        <f>DAY(G177)</f>
        <v>11</v>
      </c>
      <c r="C177">
        <f>MONTH(G177)</f>
        <v>7</v>
      </c>
      <c r="D177">
        <f>YEAR(G177)</f>
        <v>2023</v>
      </c>
      <c r="E177" t="str">
        <f>TEXT(G177,"DDDD")</f>
        <v>Tuesday</v>
      </c>
      <c r="F177" t="str">
        <f>TEXT(G177,"MMMM")</f>
        <v>July</v>
      </c>
      <c r="G177" s="3">
        <v>45118</v>
      </c>
      <c r="H177" s="4" t="s">
        <v>209</v>
      </c>
      <c r="I177" s="4" t="s">
        <v>3</v>
      </c>
      <c r="J177" s="4" t="str">
        <f>IF(K177&lt;30, "Young Adult","Adult")</f>
        <v>Adult</v>
      </c>
      <c r="K177" s="4">
        <v>43</v>
      </c>
      <c r="L177" s="4" t="s">
        <v>6</v>
      </c>
      <c r="M177" s="4">
        <v>2</v>
      </c>
      <c r="N177" s="5">
        <v>50</v>
      </c>
      <c r="O177">
        <f>(M177*N177)</f>
        <v>100</v>
      </c>
      <c r="P177">
        <f>O177*$S$3</f>
        <v>1.5</v>
      </c>
      <c r="Q177">
        <f>O177*$S$4</f>
        <v>2</v>
      </c>
    </row>
    <row r="178" spans="1:17">
      <c r="A178" s="2">
        <v>177</v>
      </c>
      <c r="B178" s="4">
        <f>DAY(G178)</f>
        <v>24</v>
      </c>
      <c r="C178">
        <f>MONTH(G178)</f>
        <v>3</v>
      </c>
      <c r="D178">
        <f>YEAR(G178)</f>
        <v>2023</v>
      </c>
      <c r="E178" t="str">
        <f>TEXT(G178,"DDDD")</f>
        <v>Friday</v>
      </c>
      <c r="F178" t="str">
        <f>TEXT(G178,"MMMM")</f>
        <v>March</v>
      </c>
      <c r="G178" s="3">
        <v>45009</v>
      </c>
      <c r="H178" s="4" t="s">
        <v>210</v>
      </c>
      <c r="I178" s="4" t="s">
        <v>4</v>
      </c>
      <c r="J178" s="4" t="str">
        <f>IF(K178&lt;30, "Young Adult","Adult")</f>
        <v>Adult</v>
      </c>
      <c r="K178" s="4">
        <v>45</v>
      </c>
      <c r="L178" s="4" t="s">
        <v>6</v>
      </c>
      <c r="M178" s="4">
        <v>2</v>
      </c>
      <c r="N178" s="5">
        <v>50</v>
      </c>
      <c r="O178">
        <f>(M178*N178)</f>
        <v>100</v>
      </c>
      <c r="P178">
        <f>O178*$S$3</f>
        <v>1.5</v>
      </c>
      <c r="Q178">
        <f>O178*$S$4</f>
        <v>2</v>
      </c>
    </row>
    <row r="179" spans="1:17">
      <c r="A179" s="2">
        <v>178</v>
      </c>
      <c r="B179" s="4">
        <f>DAY(G179)</f>
        <v>4</v>
      </c>
      <c r="C179">
        <f>MONTH(G179)</f>
        <v>10</v>
      </c>
      <c r="D179">
        <f>YEAR(G179)</f>
        <v>2023</v>
      </c>
      <c r="E179" t="str">
        <f>TEXT(G179,"DDDD")</f>
        <v>Wednesday</v>
      </c>
      <c r="F179" t="str">
        <f>TEXT(G179,"MMMM")</f>
        <v>October</v>
      </c>
      <c r="G179" s="3">
        <v>45203</v>
      </c>
      <c r="H179" s="4" t="s">
        <v>211</v>
      </c>
      <c r="I179" s="4" t="s">
        <v>4</v>
      </c>
      <c r="J179" s="4" t="str">
        <f>IF(K179&lt;30, "Young Adult","Adult")</f>
        <v>Adult</v>
      </c>
      <c r="K179" s="4">
        <v>40</v>
      </c>
      <c r="L179" s="4" t="s">
        <v>7</v>
      </c>
      <c r="M179" s="4">
        <v>2</v>
      </c>
      <c r="N179" s="5">
        <v>30</v>
      </c>
      <c r="O179">
        <f>(M179*N179)</f>
        <v>60</v>
      </c>
      <c r="P179">
        <f>O179*$S$3</f>
        <v>0.89999999999999991</v>
      </c>
      <c r="Q179">
        <f>O179*$S$4</f>
        <v>1.2</v>
      </c>
    </row>
    <row r="180" spans="1:17">
      <c r="A180" s="2">
        <v>179</v>
      </c>
      <c r="B180" s="4">
        <f>DAY(G180)</f>
        <v>29</v>
      </c>
      <c r="C180">
        <f>MONTH(G180)</f>
        <v>9</v>
      </c>
      <c r="D180">
        <f>YEAR(G180)</f>
        <v>2023</v>
      </c>
      <c r="E180" t="str">
        <f>TEXT(G180,"DDDD")</f>
        <v>Friday</v>
      </c>
      <c r="F180" t="str">
        <f>TEXT(G180,"MMMM")</f>
        <v>September</v>
      </c>
      <c r="G180" s="3">
        <v>45198</v>
      </c>
      <c r="H180" s="4" t="s">
        <v>212</v>
      </c>
      <c r="I180" s="4" t="s">
        <v>4</v>
      </c>
      <c r="J180" s="4" t="str">
        <f>IF(K180&lt;30, "Young Adult","Adult")</f>
        <v>Adult</v>
      </c>
      <c r="K180" s="4">
        <v>31</v>
      </c>
      <c r="L180" s="4" t="s">
        <v>8</v>
      </c>
      <c r="M180" s="4">
        <v>1</v>
      </c>
      <c r="N180" s="5">
        <v>300</v>
      </c>
      <c r="O180">
        <f>(M180*N180)</f>
        <v>300</v>
      </c>
      <c r="P180">
        <f>O180*$S$3</f>
        <v>4.5</v>
      </c>
      <c r="Q180">
        <f>O180*$S$4</f>
        <v>6</v>
      </c>
    </row>
    <row r="181" spans="1:17">
      <c r="A181" s="2">
        <v>180</v>
      </c>
      <c r="B181" s="4">
        <f>DAY(G181)</f>
        <v>1</v>
      </c>
      <c r="C181">
        <f>MONTH(G181)</f>
        <v>1</v>
      </c>
      <c r="D181">
        <f>YEAR(G181)</f>
        <v>2023</v>
      </c>
      <c r="E181" t="str">
        <f>TEXT(G181,"DDDD")</f>
        <v>Sunday</v>
      </c>
      <c r="F181" t="str">
        <f>TEXT(G181,"MMMM")</f>
        <v>January</v>
      </c>
      <c r="G181" s="3">
        <v>44927</v>
      </c>
      <c r="H181" s="4" t="s">
        <v>213</v>
      </c>
      <c r="I181" s="4" t="s">
        <v>4</v>
      </c>
      <c r="J181" s="4" t="str">
        <f>IF(K181&lt;30, "Young Adult","Adult")</f>
        <v>Adult</v>
      </c>
      <c r="K181" s="4">
        <v>41</v>
      </c>
      <c r="L181" s="4" t="s">
        <v>7</v>
      </c>
      <c r="M181" s="4">
        <v>3</v>
      </c>
      <c r="N181" s="5">
        <v>300</v>
      </c>
      <c r="O181">
        <f>(M181*N181)</f>
        <v>900</v>
      </c>
      <c r="P181">
        <f>O181*$S$3</f>
        <v>13.5</v>
      </c>
      <c r="Q181">
        <f>O181*$S$4</f>
        <v>18</v>
      </c>
    </row>
    <row r="182" spans="1:17">
      <c r="A182" s="2">
        <v>181</v>
      </c>
      <c r="B182" s="4">
        <f>DAY(G182)</f>
        <v>3</v>
      </c>
      <c r="C182">
        <f>MONTH(G182)</f>
        <v>11</v>
      </c>
      <c r="D182">
        <f>YEAR(G182)</f>
        <v>2023</v>
      </c>
      <c r="E182" t="str">
        <f>TEXT(G182,"DDDD")</f>
        <v>Friday</v>
      </c>
      <c r="F182" t="str">
        <f>TEXT(G182,"MMMM")</f>
        <v>November</v>
      </c>
      <c r="G182" s="3">
        <v>45233</v>
      </c>
      <c r="H182" s="4" t="s">
        <v>214</v>
      </c>
      <c r="I182" s="4" t="s">
        <v>4</v>
      </c>
      <c r="J182" s="4" t="str">
        <f>IF(K182&lt;30, "Young Adult","Adult")</f>
        <v>Young Adult</v>
      </c>
      <c r="K182" s="4">
        <v>19</v>
      </c>
      <c r="L182" s="4" t="s">
        <v>8</v>
      </c>
      <c r="M182" s="4">
        <v>4</v>
      </c>
      <c r="N182" s="5">
        <v>300</v>
      </c>
      <c r="O182">
        <f>(M182*N182)</f>
        <v>1200</v>
      </c>
      <c r="P182">
        <f>O182*$S$3</f>
        <v>18</v>
      </c>
      <c r="Q182">
        <f>O182*$S$4</f>
        <v>24</v>
      </c>
    </row>
    <row r="183" spans="1:17">
      <c r="A183" s="2">
        <v>182</v>
      </c>
      <c r="B183" s="4">
        <f>DAY(G183)</f>
        <v>15</v>
      </c>
      <c r="C183">
        <f>MONTH(G183)</f>
        <v>6</v>
      </c>
      <c r="D183">
        <f>YEAR(G183)</f>
        <v>2023</v>
      </c>
      <c r="E183" t="str">
        <f>TEXT(G183,"DDDD")</f>
        <v>Thursday</v>
      </c>
      <c r="F183" t="str">
        <f>TEXT(G183,"MMMM")</f>
        <v>June</v>
      </c>
      <c r="G183" s="3">
        <v>45092</v>
      </c>
      <c r="H183" s="4" t="s">
        <v>215</v>
      </c>
      <c r="I183" s="4" t="s">
        <v>4</v>
      </c>
      <c r="J183" s="4" t="str" cm="1">
        <f t="array" ref="J183">_xlfn.IFS(K2&gt;=30,"Senior",K2&gt;=30,"Adult",K2&lt;30,"Young Adult")</f>
        <v>Senior</v>
      </c>
      <c r="K183" s="4">
        <v>62</v>
      </c>
      <c r="L183" s="4" t="s">
        <v>6</v>
      </c>
      <c r="M183" s="4">
        <v>4</v>
      </c>
      <c r="N183" s="5">
        <v>30</v>
      </c>
      <c r="O183">
        <f>(M183*N183)</f>
        <v>120</v>
      </c>
      <c r="P183">
        <f>O183*$S$3</f>
        <v>1.7999999999999998</v>
      </c>
      <c r="Q183">
        <f>O183*$S$4</f>
        <v>2.4</v>
      </c>
    </row>
    <row r="184" spans="1:17">
      <c r="A184" s="2">
        <v>183</v>
      </c>
      <c r="B184" s="4">
        <f>DAY(G184)</f>
        <v>8</v>
      </c>
      <c r="C184">
        <f>MONTH(G184)</f>
        <v>9</v>
      </c>
      <c r="D184">
        <f>YEAR(G184)</f>
        <v>2023</v>
      </c>
      <c r="E184" t="str">
        <f>TEXT(G184,"DDDD")</f>
        <v>Friday</v>
      </c>
      <c r="F184" t="str">
        <f>TEXT(G184,"MMMM")</f>
        <v>September</v>
      </c>
      <c r="G184" s="3">
        <v>45177</v>
      </c>
      <c r="H184" s="4" t="s">
        <v>216</v>
      </c>
      <c r="I184" s="4" t="s">
        <v>3</v>
      </c>
      <c r="J184" s="4" t="str">
        <f>IF(K184&lt;30, "Young Adult","Adult")</f>
        <v>Adult</v>
      </c>
      <c r="K184" s="4">
        <v>43</v>
      </c>
      <c r="L184" s="4" t="s">
        <v>6</v>
      </c>
      <c r="M184" s="4">
        <v>3</v>
      </c>
      <c r="N184" s="5">
        <v>300</v>
      </c>
      <c r="O184">
        <f>(M184*N184)</f>
        <v>900</v>
      </c>
      <c r="P184">
        <f>O184*$S$3</f>
        <v>13.5</v>
      </c>
      <c r="Q184">
        <f>O184*$S$4</f>
        <v>18</v>
      </c>
    </row>
    <row r="185" spans="1:17">
      <c r="A185" s="2">
        <v>184</v>
      </c>
      <c r="B185" s="4">
        <f>DAY(G185)</f>
        <v>10</v>
      </c>
      <c r="C185">
        <f>MONTH(G185)</f>
        <v>1</v>
      </c>
      <c r="D185">
        <f>YEAR(G185)</f>
        <v>2023</v>
      </c>
      <c r="E185" t="str">
        <f>TEXT(G185,"DDDD")</f>
        <v>Tuesday</v>
      </c>
      <c r="F185" t="str">
        <f>TEXT(G185,"MMMM")</f>
        <v>January</v>
      </c>
      <c r="G185" s="3">
        <v>44936</v>
      </c>
      <c r="H185" s="4" t="s">
        <v>217</v>
      </c>
      <c r="I185" s="4" t="s">
        <v>4</v>
      </c>
      <c r="J185" s="4" t="str">
        <f>IF(K185&lt;30, "Young Adult","Adult")</f>
        <v>Adult</v>
      </c>
      <c r="K185" s="4">
        <v>31</v>
      </c>
      <c r="L185" s="4" t="s">
        <v>8</v>
      </c>
      <c r="M185" s="4">
        <v>4</v>
      </c>
      <c r="N185" s="5">
        <v>50</v>
      </c>
      <c r="O185">
        <f>(M185*N185)</f>
        <v>200</v>
      </c>
      <c r="P185">
        <f>O185*$S$3</f>
        <v>3</v>
      </c>
      <c r="Q185">
        <f>O185*$S$4</f>
        <v>4</v>
      </c>
    </row>
    <row r="186" spans="1:17">
      <c r="A186" s="2">
        <v>185</v>
      </c>
      <c r="B186" s="4">
        <f>DAY(G186)</f>
        <v>27</v>
      </c>
      <c r="C186">
        <f>MONTH(G186)</f>
        <v>2</v>
      </c>
      <c r="D186">
        <f>YEAR(G186)</f>
        <v>2023</v>
      </c>
      <c r="E186" t="str">
        <f>TEXT(G186,"DDDD")</f>
        <v>Monday</v>
      </c>
      <c r="F186" t="str">
        <f>TEXT(G186,"MMMM")</f>
        <v>February</v>
      </c>
      <c r="G186" s="3">
        <v>44984</v>
      </c>
      <c r="H186" s="4" t="s">
        <v>218</v>
      </c>
      <c r="I186" s="4" t="s">
        <v>4</v>
      </c>
      <c r="J186" s="4" t="str">
        <f>IF(K186&lt;30, "Young Adult","Adult")</f>
        <v>Young Adult</v>
      </c>
      <c r="K186" s="4">
        <v>24</v>
      </c>
      <c r="L186" s="4" t="s">
        <v>7</v>
      </c>
      <c r="M186" s="4">
        <v>1</v>
      </c>
      <c r="N186" s="5">
        <v>25</v>
      </c>
      <c r="O186">
        <f>(M186*N186)</f>
        <v>25</v>
      </c>
      <c r="P186">
        <f>O186*$S$3</f>
        <v>0.375</v>
      </c>
      <c r="Q186">
        <f>O186*$S$4</f>
        <v>0.5</v>
      </c>
    </row>
    <row r="187" spans="1:17">
      <c r="A187" s="2">
        <v>186</v>
      </c>
      <c r="B187" s="4">
        <f>DAY(G187)</f>
        <v>5</v>
      </c>
      <c r="C187">
        <f>MONTH(G187)</f>
        <v>7</v>
      </c>
      <c r="D187">
        <f>YEAR(G187)</f>
        <v>2023</v>
      </c>
      <c r="E187" t="str">
        <f>TEXT(G187,"DDDD")</f>
        <v>Wednesday</v>
      </c>
      <c r="F187" t="str">
        <f>TEXT(G187,"MMMM")</f>
        <v>July</v>
      </c>
      <c r="G187" s="3">
        <v>45112</v>
      </c>
      <c r="H187" s="4" t="s">
        <v>219</v>
      </c>
      <c r="I187" s="4" t="s">
        <v>4</v>
      </c>
      <c r="J187" s="4" t="str">
        <f>IF(K187&lt;30, "Young Adult","Adult")</f>
        <v>Young Adult</v>
      </c>
      <c r="K187" s="4">
        <v>20</v>
      </c>
      <c r="L187" s="4" t="s">
        <v>7</v>
      </c>
      <c r="M187" s="4">
        <v>4</v>
      </c>
      <c r="N187" s="5">
        <v>50</v>
      </c>
      <c r="O187">
        <f>(M187*N187)</f>
        <v>200</v>
      </c>
      <c r="P187">
        <f>O187*$S$3</f>
        <v>3</v>
      </c>
      <c r="Q187">
        <f>O187*$S$4</f>
        <v>4</v>
      </c>
    </row>
    <row r="188" spans="1:17">
      <c r="A188" s="2">
        <v>187</v>
      </c>
      <c r="B188" s="4">
        <f>DAY(G188)</f>
        <v>7</v>
      </c>
      <c r="C188">
        <f>MONTH(G188)</f>
        <v>6</v>
      </c>
      <c r="D188">
        <f>YEAR(G188)</f>
        <v>2023</v>
      </c>
      <c r="E188" t="str">
        <f>TEXT(G188,"DDDD")</f>
        <v>Wednesday</v>
      </c>
      <c r="F188" t="str">
        <f>TEXT(G188,"MMMM")</f>
        <v>June</v>
      </c>
      <c r="G188" s="3">
        <v>45084</v>
      </c>
      <c r="H188" s="4" t="s">
        <v>220</v>
      </c>
      <c r="I188" s="4" t="s">
        <v>3</v>
      </c>
      <c r="J188" s="4" t="str" cm="1">
        <f t="array" ref="J188">_xlfn.IFS(K2&gt;=30,"Senior",K2&gt;=30,"Adult",K2&lt;30,"Young Adult")</f>
        <v>Senior</v>
      </c>
      <c r="K188" s="4">
        <v>64</v>
      </c>
      <c r="L188" s="4" t="s">
        <v>7</v>
      </c>
      <c r="M188" s="4">
        <v>2</v>
      </c>
      <c r="N188" s="5">
        <v>50</v>
      </c>
      <c r="O188">
        <f>(M188*N188)</f>
        <v>100</v>
      </c>
      <c r="P188">
        <f>O188*$S$3</f>
        <v>1.5</v>
      </c>
      <c r="Q188">
        <f>O188*$S$4</f>
        <v>2</v>
      </c>
    </row>
    <row r="189" spans="1:17">
      <c r="A189" s="2">
        <v>188</v>
      </c>
      <c r="B189" s="4">
        <f>DAY(G189)</f>
        <v>3</v>
      </c>
      <c r="C189">
        <f>MONTH(G189)</f>
        <v>5</v>
      </c>
      <c r="D189">
        <f>YEAR(G189)</f>
        <v>2023</v>
      </c>
      <c r="E189" t="str">
        <f>TEXT(G189,"DDDD")</f>
        <v>Wednesday</v>
      </c>
      <c r="F189" t="str">
        <f>TEXT(G189,"MMMM")</f>
        <v>May</v>
      </c>
      <c r="G189" s="3">
        <v>45049</v>
      </c>
      <c r="H189" s="4" t="s">
        <v>221</v>
      </c>
      <c r="I189" s="4" t="s">
        <v>4</v>
      </c>
      <c r="J189" s="4" t="str">
        <f>IF(K189&lt;30, "Young Adult","Adult")</f>
        <v>Adult</v>
      </c>
      <c r="K189" s="4">
        <v>40</v>
      </c>
      <c r="L189" s="4" t="s">
        <v>7</v>
      </c>
      <c r="M189" s="4">
        <v>3</v>
      </c>
      <c r="N189" s="5">
        <v>25</v>
      </c>
      <c r="O189">
        <f>(M189*N189)</f>
        <v>75</v>
      </c>
      <c r="P189">
        <f>O189*$S$3</f>
        <v>1.125</v>
      </c>
      <c r="Q189">
        <f>O189*$S$4</f>
        <v>1.5</v>
      </c>
    </row>
    <row r="190" spans="1:17">
      <c r="A190" s="2">
        <v>189</v>
      </c>
      <c r="B190" s="4">
        <f>DAY(G190)</f>
        <v>30</v>
      </c>
      <c r="C190">
        <f>MONTH(G190)</f>
        <v>1</v>
      </c>
      <c r="D190">
        <f>YEAR(G190)</f>
        <v>2023</v>
      </c>
      <c r="E190" t="str">
        <f>TEXT(G190,"DDDD")</f>
        <v>Monday</v>
      </c>
      <c r="F190" t="str">
        <f>TEXT(G190,"MMMM")</f>
        <v>January</v>
      </c>
      <c r="G190" s="3">
        <v>44956</v>
      </c>
      <c r="H190" s="4" t="s">
        <v>222</v>
      </c>
      <c r="I190" s="4" t="s">
        <v>4</v>
      </c>
      <c r="J190" s="4" t="str" cm="1">
        <f t="array" ref="J190">_xlfn.IFS(K2&gt;=30,"Senior",K2&gt;=30,"Adult",K2&lt;30,"Young Adult")</f>
        <v>Senior</v>
      </c>
      <c r="K190" s="4">
        <v>63</v>
      </c>
      <c r="L190" s="4" t="s">
        <v>6</v>
      </c>
      <c r="M190" s="4">
        <v>1</v>
      </c>
      <c r="N190" s="5">
        <v>50</v>
      </c>
      <c r="O190">
        <f>(M190*N190)</f>
        <v>50</v>
      </c>
      <c r="P190">
        <f>O190*$S$3</f>
        <v>0.75</v>
      </c>
      <c r="Q190">
        <f>O190*$S$4</f>
        <v>1</v>
      </c>
    </row>
    <row r="191" spans="1:17">
      <c r="A191" s="2">
        <v>190</v>
      </c>
      <c r="B191" s="4">
        <f>DAY(G191)</f>
        <v>4</v>
      </c>
      <c r="C191">
        <f>MONTH(G191)</f>
        <v>5</v>
      </c>
      <c r="D191">
        <f>YEAR(G191)</f>
        <v>2023</v>
      </c>
      <c r="E191" t="str">
        <f>TEXT(G191,"DDDD")</f>
        <v>Thursday</v>
      </c>
      <c r="F191" t="str">
        <f>TEXT(G191,"MMMM")</f>
        <v>May</v>
      </c>
      <c r="G191" s="3">
        <v>45050</v>
      </c>
      <c r="H191" s="4" t="s">
        <v>223</v>
      </c>
      <c r="I191" s="4" t="s">
        <v>3</v>
      </c>
      <c r="J191" s="4" t="str" cm="1">
        <f t="array" ref="J191">_xlfn.IFS(K2&gt;=30,"Senior",K2&gt;=30,"Adult",K2&lt;30,"Young Adult")</f>
        <v>Senior</v>
      </c>
      <c r="K191" s="4">
        <v>60</v>
      </c>
      <c r="L191" s="4" t="s">
        <v>6</v>
      </c>
      <c r="M191" s="4">
        <v>3</v>
      </c>
      <c r="N191" s="5">
        <v>30</v>
      </c>
      <c r="O191">
        <f>(M191*N191)</f>
        <v>90</v>
      </c>
      <c r="P191">
        <f>O191*$S$3</f>
        <v>1.3499999999999999</v>
      </c>
      <c r="Q191">
        <f>O191*$S$4</f>
        <v>1.8</v>
      </c>
    </row>
    <row r="192" spans="1:17">
      <c r="A192" s="2">
        <v>191</v>
      </c>
      <c r="B192" s="4">
        <f>DAY(G192)</f>
        <v>18</v>
      </c>
      <c r="C192">
        <f>MONTH(G192)</f>
        <v>10</v>
      </c>
      <c r="D192">
        <f>YEAR(G192)</f>
        <v>2023</v>
      </c>
      <c r="E192" t="str">
        <f>TEXT(G192,"DDDD")</f>
        <v>Wednesday</v>
      </c>
      <c r="F192" t="str">
        <f>TEXT(G192,"MMMM")</f>
        <v>October</v>
      </c>
      <c r="G192" s="3">
        <v>45217</v>
      </c>
      <c r="H192" s="4" t="s">
        <v>224</v>
      </c>
      <c r="I192" s="4" t="s">
        <v>4</v>
      </c>
      <c r="J192" s="4" t="str" cm="1">
        <f t="array" ref="J192">_xlfn.IFS(K2&gt;=30,"Senior",K2&gt;=30,"Adult",K2&lt;30,"Young Adult")</f>
        <v>Senior</v>
      </c>
      <c r="K192" s="4">
        <v>64</v>
      </c>
      <c r="L192" s="4" t="s">
        <v>6</v>
      </c>
      <c r="M192" s="4">
        <v>1</v>
      </c>
      <c r="N192" s="5">
        <v>25</v>
      </c>
      <c r="O192">
        <f>(M192*N192)</f>
        <v>25</v>
      </c>
      <c r="P192">
        <f>O192*$S$3</f>
        <v>0.375</v>
      </c>
      <c r="Q192">
        <f>O192*$S$4</f>
        <v>0.5</v>
      </c>
    </row>
    <row r="193" spans="1:17">
      <c r="A193" s="2">
        <v>192</v>
      </c>
      <c r="B193" s="4">
        <f>DAY(G193)</f>
        <v>10</v>
      </c>
      <c r="C193">
        <f>MONTH(G193)</f>
        <v>2</v>
      </c>
      <c r="D193">
        <f>YEAR(G193)</f>
        <v>2023</v>
      </c>
      <c r="E193" t="str">
        <f>TEXT(G193,"DDDD")</f>
        <v>Friday</v>
      </c>
      <c r="F193" t="str">
        <f>TEXT(G193,"MMMM")</f>
        <v>February</v>
      </c>
      <c r="G193" s="3">
        <v>44967</v>
      </c>
      <c r="H193" s="4" t="s">
        <v>225</v>
      </c>
      <c r="I193" s="4" t="s">
        <v>4</v>
      </c>
      <c r="J193" s="4" t="str" cm="1">
        <f t="array" ref="J193">_xlfn.IFS(K2&gt;=30,"Senior",K2&gt;=30,"Adult",K2&lt;30,"Young Adult")</f>
        <v>Senior</v>
      </c>
      <c r="K193" s="4">
        <v>62</v>
      </c>
      <c r="L193" s="4" t="s">
        <v>6</v>
      </c>
      <c r="M193" s="4">
        <v>2</v>
      </c>
      <c r="N193" s="5">
        <v>50</v>
      </c>
      <c r="O193">
        <f>(M193*N193)</f>
        <v>100</v>
      </c>
      <c r="P193">
        <f>O193*$S$3</f>
        <v>1.5</v>
      </c>
      <c r="Q193">
        <f>O193*$S$4</f>
        <v>2</v>
      </c>
    </row>
    <row r="194" spans="1:17">
      <c r="A194" s="2">
        <v>193</v>
      </c>
      <c r="B194" s="4">
        <f>DAY(G194)</f>
        <v>13</v>
      </c>
      <c r="C194">
        <f>MONTH(G194)</f>
        <v>2</v>
      </c>
      <c r="D194">
        <f>YEAR(G194)</f>
        <v>2023</v>
      </c>
      <c r="E194" t="str">
        <f>TEXT(G194,"DDDD")</f>
        <v>Monday</v>
      </c>
      <c r="F194" t="str">
        <f>TEXT(G194,"MMMM")</f>
        <v>February</v>
      </c>
      <c r="G194" s="3">
        <v>44970</v>
      </c>
      <c r="H194" s="4" t="s">
        <v>226</v>
      </c>
      <c r="I194" s="4" t="s">
        <v>4</v>
      </c>
      <c r="J194" s="4" t="str">
        <f>IF(K194&lt;30, "Young Adult","Adult")</f>
        <v>Adult</v>
      </c>
      <c r="K194" s="4">
        <v>35</v>
      </c>
      <c r="L194" s="4" t="s">
        <v>6</v>
      </c>
      <c r="M194" s="4">
        <v>3</v>
      </c>
      <c r="N194" s="5">
        <v>500</v>
      </c>
      <c r="O194">
        <f>(M194*N194)</f>
        <v>1500</v>
      </c>
      <c r="P194">
        <f>O194*$S$3</f>
        <v>22.5</v>
      </c>
      <c r="Q194">
        <f>O194*$S$4</f>
        <v>30</v>
      </c>
    </row>
    <row r="195" spans="1:17">
      <c r="A195" s="2">
        <v>194</v>
      </c>
      <c r="B195" s="4">
        <f>DAY(G195)</f>
        <v>6</v>
      </c>
      <c r="C195">
        <f>MONTH(G195)</f>
        <v>9</v>
      </c>
      <c r="D195">
        <f>YEAR(G195)</f>
        <v>2023</v>
      </c>
      <c r="E195" t="str">
        <f>TEXT(G195,"DDDD")</f>
        <v>Wednesday</v>
      </c>
      <c r="F195" t="str">
        <f>TEXT(G195,"MMMM")</f>
        <v>September</v>
      </c>
      <c r="G195" s="3">
        <v>45175</v>
      </c>
      <c r="H195" s="4" t="s">
        <v>227</v>
      </c>
      <c r="I195" s="4" t="s">
        <v>4</v>
      </c>
      <c r="J195" s="4" t="str" cm="1">
        <f t="array" ref="J195">_xlfn.IFS(K2&gt;=30,"Senior",K2&gt;=30,"Adult",K2&lt;30,"Young Adult")</f>
        <v>Senior</v>
      </c>
      <c r="K195" s="4">
        <v>55</v>
      </c>
      <c r="L195" s="4" t="s">
        <v>7</v>
      </c>
      <c r="M195" s="4">
        <v>4</v>
      </c>
      <c r="N195" s="5">
        <v>50</v>
      </c>
      <c r="O195">
        <f>(M195*N195)</f>
        <v>200</v>
      </c>
      <c r="P195">
        <f>O195*$S$3</f>
        <v>3</v>
      </c>
      <c r="Q195">
        <f>O195*$S$4</f>
        <v>4</v>
      </c>
    </row>
    <row r="196" spans="1:17">
      <c r="A196" s="2">
        <v>195</v>
      </c>
      <c r="B196" s="4">
        <f>DAY(G196)</f>
        <v>5</v>
      </c>
      <c r="C196">
        <f>MONTH(G196)</f>
        <v>2</v>
      </c>
      <c r="D196">
        <f>YEAR(G196)</f>
        <v>2023</v>
      </c>
      <c r="E196" t="str">
        <f>TEXT(G196,"DDDD")</f>
        <v>Sunday</v>
      </c>
      <c r="F196" t="str">
        <f>TEXT(G196,"MMMM")</f>
        <v>February</v>
      </c>
      <c r="G196" s="3">
        <v>44962</v>
      </c>
      <c r="H196" s="4" t="s">
        <v>228</v>
      </c>
      <c r="I196" s="4" t="s">
        <v>4</v>
      </c>
      <c r="J196" s="4" t="str" cm="1">
        <f t="array" ref="J196">_xlfn.IFS(K2&gt;=30,"Senior",K2&gt;=30,"Adult",K2&lt;30,"Young Adult")</f>
        <v>Senior</v>
      </c>
      <c r="K196" s="4">
        <v>52</v>
      </c>
      <c r="L196" s="4" t="s">
        <v>7</v>
      </c>
      <c r="M196" s="4">
        <v>1</v>
      </c>
      <c r="N196" s="5">
        <v>30</v>
      </c>
      <c r="O196">
        <f>(M196*N196)</f>
        <v>30</v>
      </c>
      <c r="P196">
        <f>O196*$S$3</f>
        <v>0.44999999999999996</v>
      </c>
      <c r="Q196">
        <f>O196*$S$4</f>
        <v>0.6</v>
      </c>
    </row>
    <row r="197" spans="1:17">
      <c r="A197" s="2">
        <v>196</v>
      </c>
      <c r="B197" s="4">
        <f>DAY(G197)</f>
        <v>30</v>
      </c>
      <c r="C197">
        <f>MONTH(G197)</f>
        <v>9</v>
      </c>
      <c r="D197">
        <f>YEAR(G197)</f>
        <v>2023</v>
      </c>
      <c r="E197" t="str">
        <f>TEXT(G197,"DDDD")</f>
        <v>Saturday</v>
      </c>
      <c r="F197" t="str">
        <f>TEXT(G197,"MMMM")</f>
        <v>September</v>
      </c>
      <c r="G197" s="3">
        <v>45199</v>
      </c>
      <c r="H197" s="4" t="s">
        <v>229</v>
      </c>
      <c r="I197" s="4" t="s">
        <v>3</v>
      </c>
      <c r="J197" s="4" t="str">
        <f>IF(K197&lt;30, "Young Adult","Adult")</f>
        <v>Adult</v>
      </c>
      <c r="K197" s="4">
        <v>32</v>
      </c>
      <c r="L197" s="4" t="s">
        <v>7</v>
      </c>
      <c r="M197" s="4">
        <v>3</v>
      </c>
      <c r="N197" s="5">
        <v>300</v>
      </c>
      <c r="O197">
        <f>(M197*N197)</f>
        <v>900</v>
      </c>
      <c r="P197">
        <f>O197*$S$3</f>
        <v>13.5</v>
      </c>
      <c r="Q197">
        <f>O197*$S$4</f>
        <v>18</v>
      </c>
    </row>
    <row r="198" spans="1:17">
      <c r="A198" s="2">
        <v>197</v>
      </c>
      <c r="B198" s="4">
        <f>DAY(G198)</f>
        <v>6</v>
      </c>
      <c r="C198">
        <f>MONTH(G198)</f>
        <v>3</v>
      </c>
      <c r="D198">
        <f>YEAR(G198)</f>
        <v>2023</v>
      </c>
      <c r="E198" t="str">
        <f>TEXT(G198,"DDDD")</f>
        <v>Monday</v>
      </c>
      <c r="F198" t="str">
        <f>TEXT(G198,"MMMM")</f>
        <v>March</v>
      </c>
      <c r="G198" s="3">
        <v>44991</v>
      </c>
      <c r="H198" s="4" t="s">
        <v>230</v>
      </c>
      <c r="I198" s="4" t="s">
        <v>3</v>
      </c>
      <c r="J198" s="4" t="str">
        <f>IF(K198&lt;30, "Young Adult","Adult")</f>
        <v>Adult</v>
      </c>
      <c r="K198" s="4">
        <v>42</v>
      </c>
      <c r="L198" s="4" t="s">
        <v>7</v>
      </c>
      <c r="M198" s="4">
        <v>4</v>
      </c>
      <c r="N198" s="5">
        <v>50</v>
      </c>
      <c r="O198">
        <f>(M198*N198)</f>
        <v>200</v>
      </c>
      <c r="P198">
        <f>O198*$S$3</f>
        <v>3</v>
      </c>
      <c r="Q198">
        <f>O198*$S$4</f>
        <v>4</v>
      </c>
    </row>
    <row r="199" spans="1:17">
      <c r="A199" s="2">
        <v>198</v>
      </c>
      <c r="B199" s="4">
        <f>DAY(G199)</f>
        <v>7</v>
      </c>
      <c r="C199">
        <f>MONTH(G199)</f>
        <v>3</v>
      </c>
      <c r="D199">
        <f>YEAR(G199)</f>
        <v>2023</v>
      </c>
      <c r="E199" t="str">
        <f>TEXT(G199,"DDDD")</f>
        <v>Tuesday</v>
      </c>
      <c r="F199" t="str">
        <f>TEXT(G199,"MMMM")</f>
        <v>March</v>
      </c>
      <c r="G199" s="3">
        <v>44992</v>
      </c>
      <c r="H199" s="4" t="s">
        <v>231</v>
      </c>
      <c r="I199" s="4" t="s">
        <v>3</v>
      </c>
      <c r="J199" s="4" t="str" cm="1">
        <f t="array" ref="J199">_xlfn.IFS(K2&gt;=30,"Senior",K2&gt;=30,"Adult",K2&lt;30,"Young Adult")</f>
        <v>Senior</v>
      </c>
      <c r="K199" s="4">
        <v>54</v>
      </c>
      <c r="L199" s="4" t="s">
        <v>6</v>
      </c>
      <c r="M199" s="4">
        <v>3</v>
      </c>
      <c r="N199" s="5">
        <v>300</v>
      </c>
      <c r="O199">
        <f>(M199*N199)</f>
        <v>900</v>
      </c>
      <c r="P199">
        <f>O199*$S$3</f>
        <v>13.5</v>
      </c>
      <c r="Q199">
        <f>O199*$S$4</f>
        <v>18</v>
      </c>
    </row>
    <row r="200" spans="1:17">
      <c r="A200" s="2">
        <v>199</v>
      </c>
      <c r="B200" s="4">
        <f>DAY(G200)</f>
        <v>4</v>
      </c>
      <c r="C200">
        <f>MONTH(G200)</f>
        <v>12</v>
      </c>
      <c r="D200">
        <f>YEAR(G200)</f>
        <v>2023</v>
      </c>
      <c r="E200" t="str">
        <f>TEXT(G200,"DDDD")</f>
        <v>Monday</v>
      </c>
      <c r="F200" t="str">
        <f>TEXT(G200,"MMMM")</f>
        <v>December</v>
      </c>
      <c r="G200" s="3">
        <v>45264</v>
      </c>
      <c r="H200" s="4" t="s">
        <v>232</v>
      </c>
      <c r="I200" s="4" t="s">
        <v>4</v>
      </c>
      <c r="J200" s="4" t="str">
        <f>IF(K200&lt;30, "Young Adult","Adult")</f>
        <v>Adult</v>
      </c>
      <c r="K200" s="4">
        <v>45</v>
      </c>
      <c r="L200" s="4" t="s">
        <v>6</v>
      </c>
      <c r="M200" s="4">
        <v>3</v>
      </c>
      <c r="N200" s="5">
        <v>500</v>
      </c>
      <c r="O200">
        <f>(M200*N200)</f>
        <v>1500</v>
      </c>
      <c r="P200">
        <f>O200*$S$3</f>
        <v>22.5</v>
      </c>
      <c r="Q200">
        <f>O200*$S$4</f>
        <v>30</v>
      </c>
    </row>
    <row r="201" spans="1:17">
      <c r="A201" s="2">
        <v>200</v>
      </c>
      <c r="B201" s="4">
        <f>DAY(G201)</f>
        <v>1</v>
      </c>
      <c r="C201">
        <f>MONTH(G201)</f>
        <v>9</v>
      </c>
      <c r="D201">
        <f>YEAR(G201)</f>
        <v>2023</v>
      </c>
      <c r="E201" t="str">
        <f>TEXT(G201,"DDDD")</f>
        <v>Friday</v>
      </c>
      <c r="F201" t="str">
        <f>TEXT(G201,"MMMM")</f>
        <v>September</v>
      </c>
      <c r="G201" s="3">
        <v>45170</v>
      </c>
      <c r="H201" s="4" t="s">
        <v>233</v>
      </c>
      <c r="I201" s="4" t="s">
        <v>4</v>
      </c>
      <c r="J201" s="4" t="str">
        <f>IF(K201&lt;30, "Young Adult","Adult")</f>
        <v>Young Adult</v>
      </c>
      <c r="K201" s="4">
        <v>27</v>
      </c>
      <c r="L201" s="4" t="s">
        <v>6</v>
      </c>
      <c r="M201" s="4">
        <v>3</v>
      </c>
      <c r="N201" s="5">
        <v>50</v>
      </c>
      <c r="O201">
        <f>(M201*N201)</f>
        <v>150</v>
      </c>
      <c r="P201">
        <f>O201*$S$3</f>
        <v>2.25</v>
      </c>
      <c r="Q201">
        <f>O201*$S$4</f>
        <v>3</v>
      </c>
    </row>
    <row r="202" spans="1:17">
      <c r="A202" s="2">
        <v>201</v>
      </c>
      <c r="B202" s="4">
        <f>DAY(G202)</f>
        <v>9</v>
      </c>
      <c r="C202">
        <f>MONTH(G202)</f>
        <v>10</v>
      </c>
      <c r="D202">
        <f>YEAR(G202)</f>
        <v>2023</v>
      </c>
      <c r="E202" t="str">
        <f>TEXT(G202,"DDDD")</f>
        <v>Monday</v>
      </c>
      <c r="F202" t="str">
        <f>TEXT(G202,"MMMM")</f>
        <v>October</v>
      </c>
      <c r="G202" s="3">
        <v>45208</v>
      </c>
      <c r="H202" s="4" t="s">
        <v>234</v>
      </c>
      <c r="I202" s="4" t="s">
        <v>4</v>
      </c>
      <c r="J202" s="4" t="str" cm="1">
        <f t="array" ref="J202">_xlfn.IFS(K2&gt;=30,"Senior",K2&gt;=30,"Adult",K2&lt;30,"Young Adult")</f>
        <v>Senior</v>
      </c>
      <c r="K202" s="4">
        <v>56</v>
      </c>
      <c r="L202" s="4" t="s">
        <v>8</v>
      </c>
      <c r="M202" s="4">
        <v>1</v>
      </c>
      <c r="N202" s="5">
        <v>25</v>
      </c>
      <c r="O202">
        <f>(M202*N202)</f>
        <v>25</v>
      </c>
      <c r="P202">
        <f>O202*$S$3</f>
        <v>0.375</v>
      </c>
      <c r="Q202">
        <f>O202*$S$4</f>
        <v>0.5</v>
      </c>
    </row>
    <row r="203" spans="1:17">
      <c r="A203" s="2">
        <v>202</v>
      </c>
      <c r="B203" s="4">
        <f>DAY(G203)</f>
        <v>26</v>
      </c>
      <c r="C203">
        <f>MONTH(G203)</f>
        <v>3</v>
      </c>
      <c r="D203">
        <f>YEAR(G203)</f>
        <v>2023</v>
      </c>
      <c r="E203" t="str">
        <f>TEXT(G203,"DDDD")</f>
        <v>Sunday</v>
      </c>
      <c r="F203" t="str">
        <f>TEXT(G203,"MMMM")</f>
        <v>March</v>
      </c>
      <c r="G203" s="3">
        <v>45011</v>
      </c>
      <c r="H203" s="4" t="s">
        <v>235</v>
      </c>
      <c r="I203" s="4" t="s">
        <v>3</v>
      </c>
      <c r="J203" s="4" t="str">
        <f>IF(K203&lt;30, "Young Adult","Adult")</f>
        <v>Adult</v>
      </c>
      <c r="K203" s="4">
        <v>34</v>
      </c>
      <c r="L203" s="4" t="s">
        <v>7</v>
      </c>
      <c r="M203" s="4">
        <v>4</v>
      </c>
      <c r="N203" s="5">
        <v>300</v>
      </c>
      <c r="O203">
        <f>(M203*N203)</f>
        <v>1200</v>
      </c>
      <c r="P203">
        <f>O203*$S$3</f>
        <v>18</v>
      </c>
      <c r="Q203">
        <f>O203*$S$4</f>
        <v>24</v>
      </c>
    </row>
    <row r="204" spans="1:17">
      <c r="A204" s="2">
        <v>203</v>
      </c>
      <c r="B204" s="4">
        <f>DAY(G204)</f>
        <v>16</v>
      </c>
      <c r="C204">
        <f>MONTH(G204)</f>
        <v>5</v>
      </c>
      <c r="D204">
        <f>YEAR(G204)</f>
        <v>2023</v>
      </c>
      <c r="E204" t="str">
        <f>TEXT(G204,"DDDD")</f>
        <v>Tuesday</v>
      </c>
      <c r="F204" t="str">
        <f>TEXT(G204,"MMMM")</f>
        <v>May</v>
      </c>
      <c r="G204" s="3">
        <v>45062</v>
      </c>
      <c r="H204" s="4" t="s">
        <v>236</v>
      </c>
      <c r="I204" s="4" t="s">
        <v>4</v>
      </c>
      <c r="J204" s="4" t="str" cm="1">
        <f t="array" ref="J204">_xlfn.IFS(K2&gt;=30,"Senior",K2&gt;=30,"Adult",K2&lt;30,"Young Adult")</f>
        <v>Senior</v>
      </c>
      <c r="K204" s="4">
        <v>56</v>
      </c>
      <c r="L204" s="4" t="s">
        <v>7</v>
      </c>
      <c r="M204" s="4">
        <v>2</v>
      </c>
      <c r="N204" s="5">
        <v>500</v>
      </c>
      <c r="O204">
        <f>(M204*N204)</f>
        <v>1000</v>
      </c>
      <c r="P204">
        <f>O204*$S$3</f>
        <v>15</v>
      </c>
      <c r="Q204">
        <f>O204*$S$4</f>
        <v>20</v>
      </c>
    </row>
    <row r="205" spans="1:17">
      <c r="A205" s="2">
        <v>204</v>
      </c>
      <c r="B205" s="4">
        <f>DAY(G205)</f>
        <v>28</v>
      </c>
      <c r="C205">
        <f>MONTH(G205)</f>
        <v>9</v>
      </c>
      <c r="D205">
        <f>YEAR(G205)</f>
        <v>2023</v>
      </c>
      <c r="E205" t="str">
        <f>TEXT(G205,"DDDD")</f>
        <v>Thursday</v>
      </c>
      <c r="F205" t="str">
        <f>TEXT(G205,"MMMM")</f>
        <v>September</v>
      </c>
      <c r="G205" s="3">
        <v>45197</v>
      </c>
      <c r="H205" s="4" t="s">
        <v>237</v>
      </c>
      <c r="I205" s="4" t="s">
        <v>4</v>
      </c>
      <c r="J205" s="4" t="str">
        <f>IF(K205&lt;30, "Young Adult","Adult")</f>
        <v>Adult</v>
      </c>
      <c r="K205" s="4">
        <v>39</v>
      </c>
      <c r="L205" s="4" t="s">
        <v>6</v>
      </c>
      <c r="M205" s="4">
        <v>1</v>
      </c>
      <c r="N205" s="5">
        <v>25</v>
      </c>
      <c r="O205">
        <f>(M205*N205)</f>
        <v>25</v>
      </c>
      <c r="P205">
        <f>O205*$S$3</f>
        <v>0.375</v>
      </c>
      <c r="Q205">
        <f>O205*$S$4</f>
        <v>0.5</v>
      </c>
    </row>
    <row r="206" spans="1:17">
      <c r="A206" s="2">
        <v>205</v>
      </c>
      <c r="B206" s="4">
        <f>DAY(G206)</f>
        <v>7</v>
      </c>
      <c r="C206">
        <f>MONTH(G206)</f>
        <v>11</v>
      </c>
      <c r="D206">
        <f>YEAR(G206)</f>
        <v>2023</v>
      </c>
      <c r="E206" t="str">
        <f>TEXT(G206,"DDDD")</f>
        <v>Tuesday</v>
      </c>
      <c r="F206" t="str">
        <f>TEXT(G206,"MMMM")</f>
        <v>November</v>
      </c>
      <c r="G206" s="3">
        <v>45237</v>
      </c>
      <c r="H206" s="4" t="s">
        <v>238</v>
      </c>
      <c r="I206" s="4" t="s">
        <v>3</v>
      </c>
      <c r="J206" s="4" t="str">
        <f>IF(K206&lt;30, "Young Adult","Adult")</f>
        <v>Adult</v>
      </c>
      <c r="K206" s="4">
        <v>43</v>
      </c>
      <c r="L206" s="4" t="s">
        <v>7</v>
      </c>
      <c r="M206" s="4">
        <v>1</v>
      </c>
      <c r="N206" s="5">
        <v>25</v>
      </c>
      <c r="O206">
        <f>(M206*N206)</f>
        <v>25</v>
      </c>
      <c r="P206">
        <f>O206*$S$3</f>
        <v>0.375</v>
      </c>
      <c r="Q206">
        <f>O206*$S$4</f>
        <v>0.5</v>
      </c>
    </row>
    <row r="207" spans="1:17">
      <c r="A207" s="2">
        <v>206</v>
      </c>
      <c r="B207" s="4">
        <f>DAY(G207)</f>
        <v>5</v>
      </c>
      <c r="C207">
        <f>MONTH(G207)</f>
        <v>8</v>
      </c>
      <c r="D207">
        <f>YEAR(G207)</f>
        <v>2023</v>
      </c>
      <c r="E207" t="str">
        <f>TEXT(G207,"DDDD")</f>
        <v>Saturday</v>
      </c>
      <c r="F207" t="str">
        <f>TEXT(G207,"MMMM")</f>
        <v>August</v>
      </c>
      <c r="G207" s="3">
        <v>45143</v>
      </c>
      <c r="H207" s="4" t="s">
        <v>239</v>
      </c>
      <c r="I207" s="4" t="s">
        <v>4</v>
      </c>
      <c r="J207" s="4" t="str" cm="1">
        <f t="array" ref="J207">_xlfn.IFS(K2&gt;=30,"Senior",K2&gt;=30,"Adult",K2&lt;30,"Young Adult")</f>
        <v>Senior</v>
      </c>
      <c r="K207" s="4">
        <v>61</v>
      </c>
      <c r="L207" s="4" t="s">
        <v>7</v>
      </c>
      <c r="M207" s="4">
        <v>1</v>
      </c>
      <c r="N207" s="5">
        <v>25</v>
      </c>
      <c r="O207">
        <f>(M207*N207)</f>
        <v>25</v>
      </c>
      <c r="P207">
        <f>O207*$S$3</f>
        <v>0.375</v>
      </c>
      <c r="Q207">
        <f>O207*$S$4</f>
        <v>0.5</v>
      </c>
    </row>
    <row r="208" spans="1:17">
      <c r="A208" s="2">
        <v>207</v>
      </c>
      <c r="B208" s="4">
        <f>DAY(G208)</f>
        <v>19</v>
      </c>
      <c r="C208">
        <f>MONTH(G208)</f>
        <v>4</v>
      </c>
      <c r="D208">
        <f>YEAR(G208)</f>
        <v>2023</v>
      </c>
      <c r="E208" t="str">
        <f>TEXT(G208,"DDDD")</f>
        <v>Wednesday</v>
      </c>
      <c r="F208" t="str">
        <f>TEXT(G208,"MMMM")</f>
        <v>April</v>
      </c>
      <c r="G208" s="3">
        <v>45035</v>
      </c>
      <c r="H208" s="4" t="s">
        <v>240</v>
      </c>
      <c r="I208" s="4" t="s">
        <v>3</v>
      </c>
      <c r="J208" s="4" t="str">
        <f>IF(K208&lt;30, "Young Adult","Adult")</f>
        <v>Adult</v>
      </c>
      <c r="K208" s="4">
        <v>42</v>
      </c>
      <c r="L208" s="4" t="s">
        <v>6</v>
      </c>
      <c r="M208" s="4">
        <v>2</v>
      </c>
      <c r="N208" s="5">
        <v>25</v>
      </c>
      <c r="O208">
        <f>(M208*N208)</f>
        <v>50</v>
      </c>
      <c r="P208">
        <f>O208*$S$3</f>
        <v>0.75</v>
      </c>
      <c r="Q208">
        <f>O208*$S$4</f>
        <v>1</v>
      </c>
    </row>
    <row r="209" spans="1:17">
      <c r="A209" s="2">
        <v>208</v>
      </c>
      <c r="B209" s="4">
        <f>DAY(G209)</f>
        <v>4</v>
      </c>
      <c r="C209">
        <f>MONTH(G209)</f>
        <v>10</v>
      </c>
      <c r="D209">
        <f>YEAR(G209)</f>
        <v>2023</v>
      </c>
      <c r="E209" t="str">
        <f>TEXT(G209,"DDDD")</f>
        <v>Wednesday</v>
      </c>
      <c r="F209" t="str">
        <f>TEXT(G209,"MMMM")</f>
        <v>October</v>
      </c>
      <c r="G209" s="3">
        <v>45203</v>
      </c>
      <c r="H209" s="4" t="s">
        <v>241</v>
      </c>
      <c r="I209" s="4" t="s">
        <v>3</v>
      </c>
      <c r="J209" s="4" t="str">
        <f>IF(K209&lt;30, "Young Adult","Adult")</f>
        <v>Adult</v>
      </c>
      <c r="K209" s="4">
        <v>34</v>
      </c>
      <c r="L209" s="4" t="s">
        <v>8</v>
      </c>
      <c r="M209" s="4">
        <v>4</v>
      </c>
      <c r="N209" s="5">
        <v>50</v>
      </c>
      <c r="O209">
        <f>(M209*N209)</f>
        <v>200</v>
      </c>
      <c r="P209">
        <f>O209*$S$3</f>
        <v>3</v>
      </c>
      <c r="Q209">
        <f>O209*$S$4</f>
        <v>4</v>
      </c>
    </row>
    <row r="210" spans="1:17">
      <c r="A210" s="2">
        <v>209</v>
      </c>
      <c r="B210" s="4">
        <f>DAY(G210)</f>
        <v>20</v>
      </c>
      <c r="C210">
        <f>MONTH(G210)</f>
        <v>12</v>
      </c>
      <c r="D210">
        <f>YEAR(G210)</f>
        <v>2023</v>
      </c>
      <c r="E210" t="str">
        <f>TEXT(G210,"DDDD")</f>
        <v>Wednesday</v>
      </c>
      <c r="F210" t="str">
        <f>TEXT(G210,"MMMM")</f>
        <v>December</v>
      </c>
      <c r="G210" s="3">
        <v>45280</v>
      </c>
      <c r="H210" s="4" t="s">
        <v>242</v>
      </c>
      <c r="I210" s="4" t="s">
        <v>3</v>
      </c>
      <c r="J210" s="4" t="str">
        <f>IF(K210&lt;30, "Young Adult","Adult")</f>
        <v>Adult</v>
      </c>
      <c r="K210" s="4">
        <v>30</v>
      </c>
      <c r="L210" s="4" t="s">
        <v>8</v>
      </c>
      <c r="M210" s="4">
        <v>4</v>
      </c>
      <c r="N210" s="5">
        <v>50</v>
      </c>
      <c r="O210">
        <f>(M210*N210)</f>
        <v>200</v>
      </c>
      <c r="P210">
        <f>O210*$S$3</f>
        <v>3</v>
      </c>
      <c r="Q210">
        <f>O210*$S$4</f>
        <v>4</v>
      </c>
    </row>
    <row r="211" spans="1:17">
      <c r="A211" s="2">
        <v>210</v>
      </c>
      <c r="B211" s="4">
        <f>DAY(G211)</f>
        <v>13</v>
      </c>
      <c r="C211">
        <f>MONTH(G211)</f>
        <v>4</v>
      </c>
      <c r="D211">
        <f>YEAR(G211)</f>
        <v>2023</v>
      </c>
      <c r="E211" t="str">
        <f>TEXT(G211,"DDDD")</f>
        <v>Thursday</v>
      </c>
      <c r="F211" t="str">
        <f>TEXT(G211,"MMMM")</f>
        <v>April</v>
      </c>
      <c r="G211" s="3">
        <v>45029</v>
      </c>
      <c r="H211" s="4" t="s">
        <v>243</v>
      </c>
      <c r="I211" s="4" t="s">
        <v>4</v>
      </c>
      <c r="J211" s="4" t="str">
        <f>IF(K211&lt;30, "Young Adult","Adult")</f>
        <v>Adult</v>
      </c>
      <c r="K211" s="4">
        <v>37</v>
      </c>
      <c r="L211" s="4" t="s">
        <v>8</v>
      </c>
      <c r="M211" s="4">
        <v>4</v>
      </c>
      <c r="N211" s="5">
        <v>50</v>
      </c>
      <c r="O211">
        <f>(M211*N211)</f>
        <v>200</v>
      </c>
      <c r="P211">
        <f>O211*$S$3</f>
        <v>3</v>
      </c>
      <c r="Q211">
        <f>O211*$S$4</f>
        <v>4</v>
      </c>
    </row>
    <row r="212" spans="1:17">
      <c r="A212" s="2">
        <v>211</v>
      </c>
      <c r="B212" s="4">
        <f>DAY(G212)</f>
        <v>1</v>
      </c>
      <c r="C212">
        <f>MONTH(G212)</f>
        <v>1</v>
      </c>
      <c r="D212">
        <f>YEAR(G212)</f>
        <v>2024</v>
      </c>
      <c r="E212" t="str">
        <f>TEXT(G212,"DDDD")</f>
        <v>Monday</v>
      </c>
      <c r="F212" t="str">
        <f>TEXT(G212,"MMMM")</f>
        <v>January</v>
      </c>
      <c r="G212" s="3">
        <v>45292</v>
      </c>
      <c r="H212" s="4" t="s">
        <v>244</v>
      </c>
      <c r="I212" s="4" t="s">
        <v>4</v>
      </c>
      <c r="J212" s="4" t="str">
        <f>IF(K212&lt;30, "Young Adult","Adult")</f>
        <v>Adult</v>
      </c>
      <c r="K212" s="4">
        <v>42</v>
      </c>
      <c r="L212" s="4" t="s">
        <v>6</v>
      </c>
      <c r="M212" s="4">
        <v>3</v>
      </c>
      <c r="N212" s="5">
        <v>500</v>
      </c>
      <c r="O212">
        <f>(M212*N212)</f>
        <v>1500</v>
      </c>
      <c r="P212">
        <f>O212*$S$3</f>
        <v>22.5</v>
      </c>
      <c r="Q212">
        <f>O212*$S$4</f>
        <v>30</v>
      </c>
    </row>
    <row r="213" spans="1:17">
      <c r="A213" s="2">
        <v>212</v>
      </c>
      <c r="B213" s="4">
        <f>DAY(G213)</f>
        <v>9</v>
      </c>
      <c r="C213">
        <f>MONTH(G213)</f>
        <v>6</v>
      </c>
      <c r="D213">
        <f>YEAR(G213)</f>
        <v>2023</v>
      </c>
      <c r="E213" t="str">
        <f>TEXT(G213,"DDDD")</f>
        <v>Friday</v>
      </c>
      <c r="F213" t="str">
        <f>TEXT(G213,"MMMM")</f>
        <v>June</v>
      </c>
      <c r="G213" s="3">
        <v>45086</v>
      </c>
      <c r="H213" s="4" t="s">
        <v>245</v>
      </c>
      <c r="I213" s="4" t="s">
        <v>4</v>
      </c>
      <c r="J213" s="4" t="str">
        <f>IF(K213&lt;30, "Young Adult","Adult")</f>
        <v>Young Adult</v>
      </c>
      <c r="K213" s="4">
        <v>21</v>
      </c>
      <c r="L213" s="4" t="s">
        <v>7</v>
      </c>
      <c r="M213" s="4">
        <v>3</v>
      </c>
      <c r="N213" s="5">
        <v>500</v>
      </c>
      <c r="O213">
        <f>(M213*N213)</f>
        <v>1500</v>
      </c>
      <c r="P213">
        <f>O213*$S$3</f>
        <v>22.5</v>
      </c>
      <c r="Q213">
        <f>O213*$S$4</f>
        <v>30</v>
      </c>
    </row>
    <row r="214" spans="1:17">
      <c r="A214" s="2">
        <v>213</v>
      </c>
      <c r="B214" s="4">
        <f>DAY(G214)</f>
        <v>24</v>
      </c>
      <c r="C214">
        <f>MONTH(G214)</f>
        <v>7</v>
      </c>
      <c r="D214">
        <f>YEAR(G214)</f>
        <v>2023</v>
      </c>
      <c r="E214" t="str">
        <f>TEXT(G214,"DDDD")</f>
        <v>Monday</v>
      </c>
      <c r="F214" t="str">
        <f>TEXT(G214,"MMMM")</f>
        <v>July</v>
      </c>
      <c r="G214" s="3">
        <v>45131</v>
      </c>
      <c r="H214" s="4" t="s">
        <v>246</v>
      </c>
      <c r="I214" s="4" t="s">
        <v>4</v>
      </c>
      <c r="J214" s="4" t="str">
        <f>IF(K214&lt;30, "Young Adult","Adult")</f>
        <v>Young Adult</v>
      </c>
      <c r="K214" s="4">
        <v>27</v>
      </c>
      <c r="L214" s="4" t="s">
        <v>6</v>
      </c>
      <c r="M214" s="4">
        <v>3</v>
      </c>
      <c r="N214" s="5">
        <v>500</v>
      </c>
      <c r="O214">
        <f>(M214*N214)</f>
        <v>1500</v>
      </c>
      <c r="P214">
        <f>O214*$S$3</f>
        <v>22.5</v>
      </c>
      <c r="Q214">
        <f>O214*$S$4</f>
        <v>30</v>
      </c>
    </row>
    <row r="215" spans="1:17">
      <c r="A215" s="2">
        <v>214</v>
      </c>
      <c r="B215" s="4">
        <f>DAY(G215)</f>
        <v>10</v>
      </c>
      <c r="C215">
        <f>MONTH(G215)</f>
        <v>12</v>
      </c>
      <c r="D215">
        <f>YEAR(G215)</f>
        <v>2023</v>
      </c>
      <c r="E215" t="str">
        <f>TEXT(G215,"DDDD")</f>
        <v>Sunday</v>
      </c>
      <c r="F215" t="str">
        <f>TEXT(G215,"MMMM")</f>
        <v>December</v>
      </c>
      <c r="G215" s="3">
        <v>45270</v>
      </c>
      <c r="H215" s="4" t="s">
        <v>247</v>
      </c>
      <c r="I215" s="4" t="s">
        <v>4</v>
      </c>
      <c r="J215" s="4" t="str">
        <f>IF(K215&lt;30, "Young Adult","Adult")</f>
        <v>Young Adult</v>
      </c>
      <c r="K215" s="4">
        <v>20</v>
      </c>
      <c r="L215" s="4" t="s">
        <v>6</v>
      </c>
      <c r="M215" s="4">
        <v>2</v>
      </c>
      <c r="N215" s="5">
        <v>30</v>
      </c>
      <c r="O215">
        <f>(M215*N215)</f>
        <v>60</v>
      </c>
      <c r="P215">
        <f>O215*$S$3</f>
        <v>0.89999999999999991</v>
      </c>
      <c r="Q215">
        <f>O215*$S$4</f>
        <v>1.2</v>
      </c>
    </row>
    <row r="216" spans="1:17">
      <c r="A216" s="2">
        <v>215</v>
      </c>
      <c r="B216" s="4">
        <f>DAY(G216)</f>
        <v>29</v>
      </c>
      <c r="C216">
        <f>MONTH(G216)</f>
        <v>11</v>
      </c>
      <c r="D216">
        <f>YEAR(G216)</f>
        <v>2023</v>
      </c>
      <c r="E216" t="str">
        <f>TEXT(G216,"DDDD")</f>
        <v>Wednesday</v>
      </c>
      <c r="F216" t="str">
        <f>TEXT(G216,"MMMM")</f>
        <v>November</v>
      </c>
      <c r="G216" s="3">
        <v>45259</v>
      </c>
      <c r="H216" s="4" t="s">
        <v>248</v>
      </c>
      <c r="I216" s="4" t="s">
        <v>4</v>
      </c>
      <c r="J216" s="4" t="str" cm="1">
        <f t="array" ref="J216">_xlfn.IFS(K2&gt;=30,"Senior",K2&gt;=30,"Adult",K2&lt;30,"Young Adult")</f>
        <v>Senior</v>
      </c>
      <c r="K216" s="4">
        <v>58</v>
      </c>
      <c r="L216" s="4" t="s">
        <v>7</v>
      </c>
      <c r="M216" s="4">
        <v>3</v>
      </c>
      <c r="N216" s="5">
        <v>500</v>
      </c>
      <c r="O216">
        <f>(M216*N216)</f>
        <v>1500</v>
      </c>
      <c r="P216">
        <f>O216*$S$3</f>
        <v>22.5</v>
      </c>
      <c r="Q216">
        <f>O216*$S$4</f>
        <v>30</v>
      </c>
    </row>
    <row r="217" spans="1:17">
      <c r="A217" s="2">
        <v>216</v>
      </c>
      <c r="B217" s="4">
        <f>DAY(G217)</f>
        <v>11</v>
      </c>
      <c r="C217">
        <f>MONTH(G217)</f>
        <v>7</v>
      </c>
      <c r="D217">
        <f>YEAR(G217)</f>
        <v>2023</v>
      </c>
      <c r="E217" t="str">
        <f>TEXT(G217,"DDDD")</f>
        <v>Tuesday</v>
      </c>
      <c r="F217" t="str">
        <f>TEXT(G217,"MMMM")</f>
        <v>July</v>
      </c>
      <c r="G217" s="3">
        <v>45118</v>
      </c>
      <c r="H217" s="4" t="s">
        <v>249</v>
      </c>
      <c r="I217" s="4" t="s">
        <v>4</v>
      </c>
      <c r="J217" s="4" t="str" cm="1">
        <f t="array" ref="J217">_xlfn.IFS(K2&gt;=30,"Senior",K2&gt;=30,"Adult",K2&lt;30,"Young Adult")</f>
        <v>Senior</v>
      </c>
      <c r="K217" s="4">
        <v>62</v>
      </c>
      <c r="L217" s="4" t="s">
        <v>8</v>
      </c>
      <c r="M217" s="4">
        <v>2</v>
      </c>
      <c r="N217" s="5">
        <v>50</v>
      </c>
      <c r="O217">
        <f>(M217*N217)</f>
        <v>100</v>
      </c>
      <c r="P217">
        <f>O217*$S$3</f>
        <v>1.5</v>
      </c>
      <c r="Q217">
        <f>O217*$S$4</f>
        <v>2</v>
      </c>
    </row>
    <row r="218" spans="1:17">
      <c r="A218" s="2">
        <v>217</v>
      </c>
      <c r="B218" s="4">
        <f>DAY(G218)</f>
        <v>13</v>
      </c>
      <c r="C218">
        <f>MONTH(G218)</f>
        <v>8</v>
      </c>
      <c r="D218">
        <f>YEAR(G218)</f>
        <v>2023</v>
      </c>
      <c r="E218" t="str">
        <f>TEXT(G218,"DDDD")</f>
        <v>Sunday</v>
      </c>
      <c r="F218" t="str">
        <f>TEXT(G218,"MMMM")</f>
        <v>August</v>
      </c>
      <c r="G218" s="3">
        <v>45151</v>
      </c>
      <c r="H218" s="4" t="s">
        <v>250</v>
      </c>
      <c r="I218" s="4" t="s">
        <v>3</v>
      </c>
      <c r="J218" s="4" t="str">
        <f>IF(K218&lt;30, "Young Adult","Adult")</f>
        <v>Adult</v>
      </c>
      <c r="K218" s="4">
        <v>35</v>
      </c>
      <c r="L218" s="4" t="s">
        <v>8</v>
      </c>
      <c r="M218" s="4">
        <v>4</v>
      </c>
      <c r="N218" s="5">
        <v>50</v>
      </c>
      <c r="O218">
        <f>(M218*N218)</f>
        <v>200</v>
      </c>
      <c r="P218">
        <f>O218*$S$3</f>
        <v>3</v>
      </c>
      <c r="Q218">
        <f>O218*$S$4</f>
        <v>4</v>
      </c>
    </row>
    <row r="219" spans="1:17">
      <c r="A219" s="2">
        <v>218</v>
      </c>
      <c r="B219" s="4">
        <f>DAY(G219)</f>
        <v>22</v>
      </c>
      <c r="C219">
        <f>MONTH(G219)</f>
        <v>9</v>
      </c>
      <c r="D219">
        <f>YEAR(G219)</f>
        <v>2023</v>
      </c>
      <c r="E219" t="str">
        <f>TEXT(G219,"DDDD")</f>
        <v>Friday</v>
      </c>
      <c r="F219" t="str">
        <f>TEXT(G219,"MMMM")</f>
        <v>September</v>
      </c>
      <c r="G219" s="3">
        <v>45191</v>
      </c>
      <c r="H219" s="4" t="s">
        <v>251</v>
      </c>
      <c r="I219" s="4" t="s">
        <v>4</v>
      </c>
      <c r="J219" s="4" t="str" cm="1">
        <f t="array" ref="J219">_xlfn.IFS(K2&gt;=30,"Senior",K2&gt;=30,"Adult",K2&lt;30,"Young Adult")</f>
        <v>Senior</v>
      </c>
      <c r="K219" s="4">
        <v>64</v>
      </c>
      <c r="L219" s="4" t="s">
        <v>6</v>
      </c>
      <c r="M219" s="4">
        <v>3</v>
      </c>
      <c r="N219" s="5">
        <v>30</v>
      </c>
      <c r="O219">
        <f>(M219*N219)</f>
        <v>90</v>
      </c>
      <c r="P219">
        <f>O219*$S$3</f>
        <v>1.3499999999999999</v>
      </c>
      <c r="Q219">
        <f>O219*$S$4</f>
        <v>1.8</v>
      </c>
    </row>
    <row r="220" spans="1:17">
      <c r="A220" s="2">
        <v>219</v>
      </c>
      <c r="B220" s="4">
        <f>DAY(G220)</f>
        <v>20</v>
      </c>
      <c r="C220">
        <f>MONTH(G220)</f>
        <v>8</v>
      </c>
      <c r="D220">
        <f>YEAR(G220)</f>
        <v>2023</v>
      </c>
      <c r="E220" t="str">
        <f>TEXT(G220,"DDDD")</f>
        <v>Sunday</v>
      </c>
      <c r="F220" t="str">
        <f>TEXT(G220,"MMMM")</f>
        <v>August</v>
      </c>
      <c r="G220" s="3">
        <v>45158</v>
      </c>
      <c r="H220" s="4" t="s">
        <v>252</v>
      </c>
      <c r="I220" s="4" t="s">
        <v>3</v>
      </c>
      <c r="J220" s="4" t="str" cm="1">
        <f t="array" ref="J220">_xlfn.IFS(K2&gt;=30,"Senior",K2&gt;=30,"Adult",K2&lt;30,"Young Adult")</f>
        <v>Senior</v>
      </c>
      <c r="K220" s="4">
        <v>53</v>
      </c>
      <c r="L220" s="4" t="s">
        <v>8</v>
      </c>
      <c r="M220" s="4">
        <v>3</v>
      </c>
      <c r="N220" s="5">
        <v>30</v>
      </c>
      <c r="O220">
        <f>(M220*N220)</f>
        <v>90</v>
      </c>
      <c r="P220">
        <f>O220*$S$3</f>
        <v>1.3499999999999999</v>
      </c>
      <c r="Q220">
        <f>O220*$S$4</f>
        <v>1.8</v>
      </c>
    </row>
    <row r="221" spans="1:17">
      <c r="A221" s="2">
        <v>220</v>
      </c>
      <c r="B221" s="4">
        <f>DAY(G221)</f>
        <v>3</v>
      </c>
      <c r="C221">
        <f>MONTH(G221)</f>
        <v>3</v>
      </c>
      <c r="D221">
        <f>YEAR(G221)</f>
        <v>2023</v>
      </c>
      <c r="E221" t="str">
        <f>TEXT(G221,"DDDD")</f>
        <v>Friday</v>
      </c>
      <c r="F221" t="str">
        <f>TEXT(G221,"MMMM")</f>
        <v>March</v>
      </c>
      <c r="G221" s="3">
        <v>44988</v>
      </c>
      <c r="H221" s="4" t="s">
        <v>253</v>
      </c>
      <c r="I221" s="4" t="s">
        <v>4</v>
      </c>
      <c r="J221" s="4" t="str" cm="1">
        <f t="array" ref="J221">_xlfn.IFS(K2&gt;=30,"Senior",K2&gt;=30,"Adult",K2&lt;30,"Young Adult")</f>
        <v>Senior</v>
      </c>
      <c r="K221" s="4">
        <v>64</v>
      </c>
      <c r="L221" s="4" t="s">
        <v>6</v>
      </c>
      <c r="M221" s="4">
        <v>1</v>
      </c>
      <c r="N221" s="5">
        <v>500</v>
      </c>
      <c r="O221">
        <f>(M221*N221)</f>
        <v>500</v>
      </c>
      <c r="P221">
        <f>O221*$S$3</f>
        <v>7.5</v>
      </c>
      <c r="Q221">
        <f>O221*$S$4</f>
        <v>10</v>
      </c>
    </row>
    <row r="222" spans="1:17">
      <c r="A222" s="2">
        <v>221</v>
      </c>
      <c r="B222" s="4">
        <f>DAY(G222)</f>
        <v>7</v>
      </c>
      <c r="C222">
        <f>MONTH(G222)</f>
        <v>5</v>
      </c>
      <c r="D222">
        <f>YEAR(G222)</f>
        <v>2023</v>
      </c>
      <c r="E222" t="str">
        <f>TEXT(G222,"DDDD")</f>
        <v>Sunday</v>
      </c>
      <c r="F222" t="str">
        <f>TEXT(G222,"MMMM")</f>
        <v>May</v>
      </c>
      <c r="G222" s="3">
        <v>45053</v>
      </c>
      <c r="H222" s="4" t="s">
        <v>254</v>
      </c>
      <c r="I222" s="4" t="s">
        <v>4</v>
      </c>
      <c r="J222" s="4" t="str">
        <f>IF(K222&lt;30, "Young Adult","Adult")</f>
        <v>Adult</v>
      </c>
      <c r="K222" s="4">
        <v>39</v>
      </c>
      <c r="L222" s="4" t="s">
        <v>6</v>
      </c>
      <c r="M222" s="4">
        <v>2</v>
      </c>
      <c r="N222" s="5">
        <v>300</v>
      </c>
      <c r="O222">
        <f>(M222*N222)</f>
        <v>600</v>
      </c>
      <c r="P222">
        <f>O222*$S$3</f>
        <v>9</v>
      </c>
      <c r="Q222">
        <f>O222*$S$4</f>
        <v>12</v>
      </c>
    </row>
    <row r="223" spans="1:17">
      <c r="A223" s="2">
        <v>222</v>
      </c>
      <c r="B223" s="4">
        <f>DAY(G223)</f>
        <v>26</v>
      </c>
      <c r="C223">
        <f>MONTH(G223)</f>
        <v>4</v>
      </c>
      <c r="D223">
        <f>YEAR(G223)</f>
        <v>2023</v>
      </c>
      <c r="E223" t="str">
        <f>TEXT(G223,"DDDD")</f>
        <v>Wednesday</v>
      </c>
      <c r="F223" t="str">
        <f>TEXT(G223,"MMMM")</f>
        <v>April</v>
      </c>
      <c r="G223" s="3">
        <v>45042</v>
      </c>
      <c r="H223" s="4" t="s">
        <v>255</v>
      </c>
      <c r="I223" s="4" t="s">
        <v>4</v>
      </c>
      <c r="J223" s="4" t="str" cm="1">
        <f t="array" ref="J223">_xlfn.IFS(K2&gt;=30,"Senior",K2&gt;=30,"Adult",K2&lt;30,"Young Adult")</f>
        <v>Senior</v>
      </c>
      <c r="K223" s="4">
        <v>51</v>
      </c>
      <c r="L223" s="4" t="s">
        <v>7</v>
      </c>
      <c r="M223" s="4">
        <v>4</v>
      </c>
      <c r="N223" s="5">
        <v>30</v>
      </c>
      <c r="O223">
        <f>(M223*N223)</f>
        <v>120</v>
      </c>
      <c r="P223">
        <f>O223*$S$3</f>
        <v>1.7999999999999998</v>
      </c>
      <c r="Q223">
        <f>O223*$S$4</f>
        <v>2.4</v>
      </c>
    </row>
    <row r="224" spans="1:17">
      <c r="A224" s="2">
        <v>223</v>
      </c>
      <c r="B224" s="4">
        <f>DAY(G224)</f>
        <v>2</v>
      </c>
      <c r="C224">
        <f>MONTH(G224)</f>
        <v>2</v>
      </c>
      <c r="D224">
        <f>YEAR(G224)</f>
        <v>2023</v>
      </c>
      <c r="E224" t="str">
        <f>TEXT(G224,"DDDD")</f>
        <v>Thursday</v>
      </c>
      <c r="F224" t="str">
        <f>TEXT(G224,"MMMM")</f>
        <v>February</v>
      </c>
      <c r="G224" s="3">
        <v>44959</v>
      </c>
      <c r="H224" s="4" t="s">
        <v>256</v>
      </c>
      <c r="I224" s="4" t="s">
        <v>3</v>
      </c>
      <c r="J224" s="4" t="str">
        <f>IF(K224&lt;30, "Young Adult","Adult")</f>
        <v>Adult</v>
      </c>
      <c r="K224" s="4">
        <v>64</v>
      </c>
      <c r="L224" s="4" t="s">
        <v>7</v>
      </c>
      <c r="M224" s="4">
        <v>1</v>
      </c>
      <c r="N224" s="5">
        <v>25</v>
      </c>
      <c r="O224">
        <f>(M224*N224)</f>
        <v>25</v>
      </c>
      <c r="P224">
        <f>O224*$S$3</f>
        <v>0.375</v>
      </c>
      <c r="Q224">
        <f>O224*$S$4</f>
        <v>0.5</v>
      </c>
    </row>
    <row r="225" spans="1:17">
      <c r="A225" s="2">
        <v>224</v>
      </c>
      <c r="B225" s="4">
        <f>DAY(G225)</f>
        <v>23</v>
      </c>
      <c r="C225">
        <f>MONTH(G225)</f>
        <v>6</v>
      </c>
      <c r="D225">
        <f>YEAR(G225)</f>
        <v>2023</v>
      </c>
      <c r="E225" t="str">
        <f>TEXT(G225,"DDDD")</f>
        <v>Friday</v>
      </c>
      <c r="F225" t="str">
        <f>TEXT(G225,"MMMM")</f>
        <v>June</v>
      </c>
      <c r="G225" s="3">
        <v>45100</v>
      </c>
      <c r="H225" s="4" t="s">
        <v>257</v>
      </c>
      <c r="I225" s="4" t="s">
        <v>3</v>
      </c>
      <c r="J225" s="4" t="str">
        <f>IF(K225&lt;30, "Young Adult","Adult")</f>
        <v>Young Adult</v>
      </c>
      <c r="K225" s="4">
        <v>25</v>
      </c>
      <c r="L225" s="4" t="s">
        <v>7</v>
      </c>
      <c r="M225" s="4">
        <v>1</v>
      </c>
      <c r="N225" s="5">
        <v>50</v>
      </c>
      <c r="O225">
        <f>(M225*N225)</f>
        <v>50</v>
      </c>
      <c r="P225">
        <f>O225*$S$3</f>
        <v>0.75</v>
      </c>
      <c r="Q225">
        <f>O225*$S$4</f>
        <v>1</v>
      </c>
    </row>
    <row r="226" spans="1:17">
      <c r="A226" s="2">
        <v>225</v>
      </c>
      <c r="B226" s="4">
        <f>DAY(G226)</f>
        <v>11</v>
      </c>
      <c r="C226">
        <f>MONTH(G226)</f>
        <v>1</v>
      </c>
      <c r="D226">
        <f>YEAR(G226)</f>
        <v>2023</v>
      </c>
      <c r="E226" t="str">
        <f>TEXT(G226,"DDDD")</f>
        <v>Wednesday</v>
      </c>
      <c r="F226" t="str">
        <f>TEXT(G226,"MMMM")</f>
        <v>January</v>
      </c>
      <c r="G226" s="3">
        <v>44937</v>
      </c>
      <c r="H226" s="4" t="s">
        <v>258</v>
      </c>
      <c r="I226" s="4" t="s">
        <v>3</v>
      </c>
      <c r="J226" s="4" t="str" cm="1">
        <f t="array" ref="J226">_xlfn.IFS(K2&gt;=30,"Senior",K2&gt;=30,"Adult",K2&lt;30,"Young Adult")</f>
        <v>Senior</v>
      </c>
      <c r="K226" s="4">
        <v>57</v>
      </c>
      <c r="L226" s="4" t="s">
        <v>6</v>
      </c>
      <c r="M226" s="4">
        <v>4</v>
      </c>
      <c r="N226" s="5">
        <v>25</v>
      </c>
      <c r="O226">
        <f>(M226*N226)</f>
        <v>100</v>
      </c>
      <c r="P226">
        <f>O226*$S$3</f>
        <v>1.5</v>
      </c>
      <c r="Q226">
        <f>O226*$S$4</f>
        <v>2</v>
      </c>
    </row>
    <row r="227" spans="1:17">
      <c r="A227" s="2">
        <v>226</v>
      </c>
      <c r="B227" s="4">
        <f>DAY(G227)</f>
        <v>29</v>
      </c>
      <c r="C227">
        <f>MONTH(G227)</f>
        <v>10</v>
      </c>
      <c r="D227">
        <f>YEAR(G227)</f>
        <v>2023</v>
      </c>
      <c r="E227" t="str">
        <f>TEXT(G227,"DDDD")</f>
        <v>Sunday</v>
      </c>
      <c r="F227" t="str">
        <f>TEXT(G227,"MMMM")</f>
        <v>October</v>
      </c>
      <c r="G227" s="3">
        <v>45228</v>
      </c>
      <c r="H227" s="4" t="s">
        <v>259</v>
      </c>
      <c r="I227" s="4" t="s">
        <v>3</v>
      </c>
      <c r="J227" s="4" t="str" cm="1">
        <f t="array" ref="J227">_xlfn.IFS(K2&gt;=30,"Senior",K2&gt;=30,"Adult",K2&lt;30,"Young Adult")</f>
        <v>Senior</v>
      </c>
      <c r="K227" s="4">
        <v>61</v>
      </c>
      <c r="L227" s="4" t="s">
        <v>7</v>
      </c>
      <c r="M227" s="4">
        <v>1</v>
      </c>
      <c r="N227" s="5">
        <v>50</v>
      </c>
      <c r="O227">
        <f>(M227*N227)</f>
        <v>50</v>
      </c>
      <c r="P227">
        <f>O227*$S$3</f>
        <v>0.75</v>
      </c>
      <c r="Q227">
        <f>O227*$S$4</f>
        <v>1</v>
      </c>
    </row>
    <row r="228" spans="1:17">
      <c r="A228" s="2">
        <v>227</v>
      </c>
      <c r="B228" s="4">
        <f>DAY(G228)</f>
        <v>11</v>
      </c>
      <c r="C228">
        <f>MONTH(G228)</f>
        <v>10</v>
      </c>
      <c r="D228">
        <f>YEAR(G228)</f>
        <v>2023</v>
      </c>
      <c r="E228" t="str">
        <f>TEXT(G228,"DDDD")</f>
        <v>Wednesday</v>
      </c>
      <c r="F228" t="str">
        <f>TEXT(G228,"MMMM")</f>
        <v>October</v>
      </c>
      <c r="G228" s="3">
        <v>45210</v>
      </c>
      <c r="H228" s="4" t="s">
        <v>260</v>
      </c>
      <c r="I228" s="4" t="s">
        <v>4</v>
      </c>
      <c r="J228" s="4" t="str">
        <f>IF(K228&lt;30, "Young Adult","Adult")</f>
        <v>Adult</v>
      </c>
      <c r="K228" s="4">
        <v>36</v>
      </c>
      <c r="L228" s="4" t="s">
        <v>8</v>
      </c>
      <c r="M228" s="4">
        <v>2</v>
      </c>
      <c r="N228" s="5">
        <v>50</v>
      </c>
      <c r="O228">
        <f>(M228*N228)</f>
        <v>100</v>
      </c>
      <c r="P228">
        <f>O228*$S$3</f>
        <v>1.5</v>
      </c>
      <c r="Q228">
        <f>O228*$S$4</f>
        <v>2</v>
      </c>
    </row>
    <row r="229" spans="1:17">
      <c r="A229" s="2">
        <v>228</v>
      </c>
      <c r="B229" s="4">
        <f>DAY(G229)</f>
        <v>28</v>
      </c>
      <c r="C229">
        <f>MONTH(G229)</f>
        <v>4</v>
      </c>
      <c r="D229">
        <f>YEAR(G229)</f>
        <v>2023</v>
      </c>
      <c r="E229" t="str">
        <f>TEXT(G229,"DDDD")</f>
        <v>Friday</v>
      </c>
      <c r="F229" t="str">
        <f>TEXT(G229,"MMMM")</f>
        <v>April</v>
      </c>
      <c r="G229" s="3">
        <v>45044</v>
      </c>
      <c r="H229" s="4" t="s">
        <v>261</v>
      </c>
      <c r="I229" s="4" t="s">
        <v>3</v>
      </c>
      <c r="J229" s="4" t="str">
        <f>IF(K229&lt;30, "Young Adult","Adult")</f>
        <v>Adult</v>
      </c>
      <c r="K229" s="4">
        <v>59</v>
      </c>
      <c r="L229" s="4" t="s">
        <v>8</v>
      </c>
      <c r="M229" s="4">
        <v>2</v>
      </c>
      <c r="N229" s="5">
        <v>30</v>
      </c>
      <c r="O229">
        <f>(M229*N229)</f>
        <v>60</v>
      </c>
      <c r="P229">
        <f>O229*$S$3</f>
        <v>0.89999999999999991</v>
      </c>
      <c r="Q229">
        <f>O229*$S$4</f>
        <v>1.2</v>
      </c>
    </row>
    <row r="230" spans="1:17">
      <c r="A230" s="2">
        <v>229</v>
      </c>
      <c r="B230" s="4">
        <f>DAY(G230)</f>
        <v>29</v>
      </c>
      <c r="C230">
        <f>MONTH(G230)</f>
        <v>10</v>
      </c>
      <c r="D230">
        <f>YEAR(G230)</f>
        <v>2023</v>
      </c>
      <c r="E230" t="str">
        <f>TEXT(G230,"DDDD")</f>
        <v>Sunday</v>
      </c>
      <c r="F230" t="str">
        <f>TEXT(G230,"MMMM")</f>
        <v>October</v>
      </c>
      <c r="G230" s="3">
        <v>45228</v>
      </c>
      <c r="H230" s="4" t="s">
        <v>262</v>
      </c>
      <c r="I230" s="4" t="s">
        <v>4</v>
      </c>
      <c r="J230" s="4" t="str">
        <f>IF(K230&lt;30, "Young Adult","Adult")</f>
        <v>Adult</v>
      </c>
      <c r="K230" s="4">
        <v>58</v>
      </c>
      <c r="L230" s="4" t="s">
        <v>6</v>
      </c>
      <c r="M230" s="4">
        <v>3</v>
      </c>
      <c r="N230" s="5">
        <v>30</v>
      </c>
      <c r="O230">
        <f>(M230*N230)</f>
        <v>90</v>
      </c>
      <c r="P230">
        <f>O230*$S$3</f>
        <v>1.3499999999999999</v>
      </c>
      <c r="Q230">
        <f>O230*$S$4</f>
        <v>1.8</v>
      </c>
    </row>
    <row r="231" spans="1:17">
      <c r="A231" s="2">
        <v>230</v>
      </c>
      <c r="B231" s="4">
        <f>DAY(G231)</f>
        <v>23</v>
      </c>
      <c r="C231">
        <f>MONTH(G231)</f>
        <v>4</v>
      </c>
      <c r="D231">
        <f>YEAR(G231)</f>
        <v>2023</v>
      </c>
      <c r="E231" t="str">
        <f>TEXT(G231,"DDDD")</f>
        <v>Sunday</v>
      </c>
      <c r="F231" t="str">
        <f>TEXT(G231,"MMMM")</f>
        <v>April</v>
      </c>
      <c r="G231" s="3">
        <v>45039</v>
      </c>
      <c r="H231" s="4" t="s">
        <v>263</v>
      </c>
      <c r="I231" s="4" t="s">
        <v>4</v>
      </c>
      <c r="J231" s="4" t="str">
        <f>IF(K231&lt;30, "Young Adult","Adult")</f>
        <v>Adult</v>
      </c>
      <c r="K231" s="4">
        <v>54</v>
      </c>
      <c r="L231" s="4" t="s">
        <v>6</v>
      </c>
      <c r="M231" s="4">
        <v>1</v>
      </c>
      <c r="N231" s="5">
        <v>25</v>
      </c>
      <c r="O231">
        <f>(M231*N231)</f>
        <v>25</v>
      </c>
      <c r="P231">
        <f>O231*$S$3</f>
        <v>0.375</v>
      </c>
      <c r="Q231">
        <f>O231*$S$4</f>
        <v>0.5</v>
      </c>
    </row>
    <row r="232" spans="1:17">
      <c r="A232" s="2">
        <v>231</v>
      </c>
      <c r="B232" s="4">
        <f>DAY(G232)</f>
        <v>4</v>
      </c>
      <c r="C232">
        <f>MONTH(G232)</f>
        <v>1</v>
      </c>
      <c r="D232">
        <f>YEAR(G232)</f>
        <v>2023</v>
      </c>
      <c r="E232" t="str">
        <f>TEXT(G232,"DDDD")</f>
        <v>Wednesday</v>
      </c>
      <c r="F232" t="str">
        <f>TEXT(G232,"MMMM")</f>
        <v>January</v>
      </c>
      <c r="G232" s="3">
        <v>44930</v>
      </c>
      <c r="H232" s="4" t="s">
        <v>264</v>
      </c>
      <c r="I232" s="4" t="s">
        <v>3</v>
      </c>
      <c r="J232" s="4" t="str">
        <f>IF(K232&lt;30, "Young Adult","Adult")</f>
        <v>Young Adult</v>
      </c>
      <c r="K232" s="4">
        <v>23</v>
      </c>
      <c r="L232" s="4" t="s">
        <v>7</v>
      </c>
      <c r="M232" s="4">
        <v>3</v>
      </c>
      <c r="N232" s="5">
        <v>50</v>
      </c>
      <c r="O232">
        <f>(M232*N232)</f>
        <v>150</v>
      </c>
      <c r="P232">
        <f>O232*$S$3</f>
        <v>2.25</v>
      </c>
      <c r="Q232">
        <f>O232*$S$4</f>
        <v>3</v>
      </c>
    </row>
    <row r="233" spans="1:17">
      <c r="A233" s="2">
        <v>232</v>
      </c>
      <c r="B233" s="4">
        <f>DAY(G233)</f>
        <v>6</v>
      </c>
      <c r="C233">
        <f>MONTH(G233)</f>
        <v>2</v>
      </c>
      <c r="D233">
        <f>YEAR(G233)</f>
        <v>2023</v>
      </c>
      <c r="E233" t="str">
        <f>TEXT(G233,"DDDD")</f>
        <v>Monday</v>
      </c>
      <c r="F233" t="str">
        <f>TEXT(G233,"MMMM")</f>
        <v>February</v>
      </c>
      <c r="G233" s="3">
        <v>44963</v>
      </c>
      <c r="H233" s="4" t="s">
        <v>265</v>
      </c>
      <c r="I233" s="4" t="s">
        <v>3</v>
      </c>
      <c r="J233" s="4" t="str">
        <f>IF(K233&lt;30, "Young Adult","Adult")</f>
        <v>Adult</v>
      </c>
      <c r="K233" s="4">
        <v>43</v>
      </c>
      <c r="L233" s="4" t="s">
        <v>6</v>
      </c>
      <c r="M233" s="4">
        <v>1</v>
      </c>
      <c r="N233" s="5">
        <v>25</v>
      </c>
      <c r="O233">
        <f>(M233*N233)</f>
        <v>25</v>
      </c>
      <c r="P233">
        <f>O233*$S$3</f>
        <v>0.375</v>
      </c>
      <c r="Q233">
        <f>O233*$S$4</f>
        <v>0.5</v>
      </c>
    </row>
    <row r="234" spans="1:17">
      <c r="A234" s="2">
        <v>233</v>
      </c>
      <c r="B234" s="4">
        <f>DAY(G234)</f>
        <v>29</v>
      </c>
      <c r="C234">
        <f>MONTH(G234)</f>
        <v>12</v>
      </c>
      <c r="D234">
        <f>YEAR(G234)</f>
        <v>2023</v>
      </c>
      <c r="E234" t="str">
        <f>TEXT(G234,"DDDD")</f>
        <v>Friday</v>
      </c>
      <c r="F234" t="str">
        <f>TEXT(G234,"MMMM")</f>
        <v>December</v>
      </c>
      <c r="G234" s="3">
        <v>45289</v>
      </c>
      <c r="H234" s="4" t="s">
        <v>266</v>
      </c>
      <c r="I234" s="4" t="s">
        <v>3</v>
      </c>
      <c r="J234" s="4" t="str">
        <f>IF(K234&lt;30, "Young Adult","Adult")</f>
        <v>Adult</v>
      </c>
      <c r="K234" s="4">
        <v>51</v>
      </c>
      <c r="L234" s="4" t="s">
        <v>6</v>
      </c>
      <c r="M234" s="4">
        <v>2</v>
      </c>
      <c r="N234" s="5">
        <v>300</v>
      </c>
      <c r="O234">
        <f>(M234*N234)</f>
        <v>600</v>
      </c>
      <c r="P234">
        <f>O234*$S$3</f>
        <v>9</v>
      </c>
      <c r="Q234">
        <f>O234*$S$4</f>
        <v>12</v>
      </c>
    </row>
    <row r="235" spans="1:17">
      <c r="A235" s="2">
        <v>234</v>
      </c>
      <c r="B235" s="4">
        <f>DAY(G235)</f>
        <v>20</v>
      </c>
      <c r="C235">
        <f>MONTH(G235)</f>
        <v>11</v>
      </c>
      <c r="D235">
        <f>YEAR(G235)</f>
        <v>2023</v>
      </c>
      <c r="E235" t="str">
        <f>TEXT(G235,"DDDD")</f>
        <v>Monday</v>
      </c>
      <c r="F235" t="str">
        <f>TEXT(G235,"MMMM")</f>
        <v>November</v>
      </c>
      <c r="G235" s="3">
        <v>45250</v>
      </c>
      <c r="H235" s="4" t="s">
        <v>267</v>
      </c>
      <c r="I235" s="4" t="s">
        <v>3</v>
      </c>
      <c r="J235" s="4" t="str">
        <f>IF(K235&lt;30, "Young Adult","Adult")</f>
        <v>Adult</v>
      </c>
      <c r="K235" s="4">
        <v>62</v>
      </c>
      <c r="L235" s="4" t="s">
        <v>8</v>
      </c>
      <c r="M235" s="4">
        <v>2</v>
      </c>
      <c r="N235" s="5">
        <v>25</v>
      </c>
      <c r="O235">
        <f>(M235*N235)</f>
        <v>50</v>
      </c>
      <c r="P235">
        <f>O235*$S$3</f>
        <v>0.75</v>
      </c>
      <c r="Q235">
        <f>O235*$S$4</f>
        <v>1</v>
      </c>
    </row>
    <row r="236" spans="1:17">
      <c r="A236" s="2">
        <v>235</v>
      </c>
      <c r="B236" s="4">
        <f>DAY(G236)</f>
        <v>31</v>
      </c>
      <c r="C236">
        <f>MONTH(G236)</f>
        <v>1</v>
      </c>
      <c r="D236">
        <f>YEAR(G236)</f>
        <v>2023</v>
      </c>
      <c r="E236" t="str">
        <f>TEXT(G236,"DDDD")</f>
        <v>Tuesday</v>
      </c>
      <c r="F236" t="str">
        <f>TEXT(G236,"MMMM")</f>
        <v>January</v>
      </c>
      <c r="G236" s="3">
        <v>44957</v>
      </c>
      <c r="H236" s="4" t="s">
        <v>268</v>
      </c>
      <c r="I236" s="4" t="s">
        <v>3</v>
      </c>
      <c r="J236" s="4" t="str">
        <f>IF(K236&lt;30, "Young Adult","Adult")</f>
        <v>Young Adult</v>
      </c>
      <c r="K236" s="4">
        <v>23</v>
      </c>
      <c r="L236" s="4" t="s">
        <v>8</v>
      </c>
      <c r="M236" s="4">
        <v>2</v>
      </c>
      <c r="N236" s="5">
        <v>500</v>
      </c>
      <c r="O236">
        <f>(M236*N236)</f>
        <v>1000</v>
      </c>
      <c r="P236">
        <f>O236*$S$3</f>
        <v>15</v>
      </c>
      <c r="Q236">
        <f>O236*$S$4</f>
        <v>20</v>
      </c>
    </row>
    <row r="237" spans="1:17">
      <c r="A237" s="2">
        <v>236</v>
      </c>
      <c r="B237" s="4">
        <f>DAY(G237)</f>
        <v>28</v>
      </c>
      <c r="C237">
        <f>MONTH(G237)</f>
        <v>4</v>
      </c>
      <c r="D237">
        <f>YEAR(G237)</f>
        <v>2023</v>
      </c>
      <c r="E237" t="str">
        <f>TEXT(G237,"DDDD")</f>
        <v>Friday</v>
      </c>
      <c r="F237" t="str">
        <f>TEXT(G237,"MMMM")</f>
        <v>April</v>
      </c>
      <c r="G237" s="3">
        <v>45044</v>
      </c>
      <c r="H237" s="4" t="s">
        <v>269</v>
      </c>
      <c r="I237" s="4" t="s">
        <v>3</v>
      </c>
      <c r="J237" s="4" t="str">
        <f>IF(K237&lt;30, "Young Adult","Adult")</f>
        <v>Adult</v>
      </c>
      <c r="K237" s="4">
        <v>54</v>
      </c>
      <c r="L237" s="4" t="s">
        <v>7</v>
      </c>
      <c r="M237" s="4">
        <v>1</v>
      </c>
      <c r="N237" s="5">
        <v>25</v>
      </c>
      <c r="O237">
        <f>(M237*N237)</f>
        <v>25</v>
      </c>
      <c r="P237">
        <f>O237*$S$3</f>
        <v>0.375</v>
      </c>
      <c r="Q237">
        <f>O237*$S$4</f>
        <v>0.5</v>
      </c>
    </row>
    <row r="238" spans="1:17">
      <c r="A238" s="2">
        <v>237</v>
      </c>
      <c r="B238" s="4">
        <f>DAY(G238)</f>
        <v>4</v>
      </c>
      <c r="C238">
        <f>MONTH(G238)</f>
        <v>2</v>
      </c>
      <c r="D238">
        <f>YEAR(G238)</f>
        <v>2023</v>
      </c>
      <c r="E238" t="str">
        <f>TEXT(G238,"DDDD")</f>
        <v>Saturday</v>
      </c>
      <c r="F238" t="str">
        <f>TEXT(G238,"MMMM")</f>
        <v>February</v>
      </c>
      <c r="G238" s="3">
        <v>44961</v>
      </c>
      <c r="H238" s="4" t="s">
        <v>270</v>
      </c>
      <c r="I238" s="4" t="s">
        <v>3</v>
      </c>
      <c r="J238" s="4" t="str">
        <f>IF(K238&lt;30, "Young Adult","Adult")</f>
        <v>Adult</v>
      </c>
      <c r="K238" s="4">
        <v>50</v>
      </c>
      <c r="L238" s="4" t="s">
        <v>6</v>
      </c>
      <c r="M238" s="4">
        <v>2</v>
      </c>
      <c r="N238" s="5">
        <v>500</v>
      </c>
      <c r="O238">
        <f>(M238*N238)</f>
        <v>1000</v>
      </c>
      <c r="P238">
        <f>O238*$S$3</f>
        <v>15</v>
      </c>
      <c r="Q238">
        <f>O238*$S$4</f>
        <v>20</v>
      </c>
    </row>
    <row r="239" spans="1:17">
      <c r="A239" s="2">
        <v>238</v>
      </c>
      <c r="B239" s="4">
        <f>DAY(G239)</f>
        <v>17</v>
      </c>
      <c r="C239">
        <f>MONTH(G239)</f>
        <v>1</v>
      </c>
      <c r="D239">
        <f>YEAR(G239)</f>
        <v>2023</v>
      </c>
      <c r="E239" t="str">
        <f>TEXT(G239,"DDDD")</f>
        <v>Tuesday</v>
      </c>
      <c r="F239" t="str">
        <f>TEXT(G239,"MMMM")</f>
        <v>January</v>
      </c>
      <c r="G239" s="3">
        <v>44943</v>
      </c>
      <c r="H239" s="4" t="s">
        <v>271</v>
      </c>
      <c r="I239" s="4" t="s">
        <v>3</v>
      </c>
      <c r="J239" s="4" t="str">
        <f>IF(K239&lt;30, "Young Adult","Adult")</f>
        <v>Adult</v>
      </c>
      <c r="K239" s="4">
        <v>39</v>
      </c>
      <c r="L239" s="4" t="s">
        <v>6</v>
      </c>
      <c r="M239" s="4">
        <v>1</v>
      </c>
      <c r="N239" s="5">
        <v>500</v>
      </c>
      <c r="O239">
        <f>(M239*N239)</f>
        <v>500</v>
      </c>
      <c r="P239">
        <f>O239*$S$3</f>
        <v>7.5</v>
      </c>
      <c r="Q239">
        <f>O239*$S$4</f>
        <v>10</v>
      </c>
    </row>
    <row r="240" spans="1:17">
      <c r="A240" s="2">
        <v>239</v>
      </c>
      <c r="B240" s="4">
        <f>DAY(G240)</f>
        <v>19</v>
      </c>
      <c r="C240">
        <f>MONTH(G240)</f>
        <v>6</v>
      </c>
      <c r="D240">
        <f>YEAR(G240)</f>
        <v>2023</v>
      </c>
      <c r="E240" t="str">
        <f>TEXT(G240,"DDDD")</f>
        <v>Monday</v>
      </c>
      <c r="F240" t="str">
        <f>TEXT(G240,"MMMM")</f>
        <v>June</v>
      </c>
      <c r="G240" s="3">
        <v>45096</v>
      </c>
      <c r="H240" s="4" t="s">
        <v>272</v>
      </c>
      <c r="I240" s="4" t="s">
        <v>4</v>
      </c>
      <c r="J240" s="4" t="str">
        <f>IF(K240&lt;30, "Young Adult","Adult")</f>
        <v>Adult</v>
      </c>
      <c r="K240" s="4">
        <v>38</v>
      </c>
      <c r="L240" s="4" t="s">
        <v>8</v>
      </c>
      <c r="M240" s="4">
        <v>3</v>
      </c>
      <c r="N240" s="5">
        <v>500</v>
      </c>
      <c r="O240">
        <f>(M240*N240)</f>
        <v>1500</v>
      </c>
      <c r="P240">
        <f>O240*$S$3</f>
        <v>22.5</v>
      </c>
      <c r="Q240">
        <f>O240*$S$4</f>
        <v>30</v>
      </c>
    </row>
    <row r="241" spans="1:17">
      <c r="A241" s="2">
        <v>240</v>
      </c>
      <c r="B241" s="4">
        <f>DAY(G241)</f>
        <v>6</v>
      </c>
      <c r="C241">
        <f>MONTH(G241)</f>
        <v>2</v>
      </c>
      <c r="D241">
        <f>YEAR(G241)</f>
        <v>2023</v>
      </c>
      <c r="E241" t="str">
        <f>TEXT(G241,"DDDD")</f>
        <v>Monday</v>
      </c>
      <c r="F241" t="str">
        <f>TEXT(G241,"MMMM")</f>
        <v>February</v>
      </c>
      <c r="G241" s="3">
        <v>44963</v>
      </c>
      <c r="H241" s="4" t="s">
        <v>273</v>
      </c>
      <c r="I241" s="4" t="s">
        <v>3</v>
      </c>
      <c r="J241" s="4" t="str">
        <f>IF(K241&lt;30, "Young Adult","Adult")</f>
        <v>Young Adult</v>
      </c>
      <c r="K241" s="4">
        <v>23</v>
      </c>
      <c r="L241" s="4" t="s">
        <v>6</v>
      </c>
      <c r="M241" s="4">
        <v>1</v>
      </c>
      <c r="N241" s="5">
        <v>300</v>
      </c>
      <c r="O241">
        <f>(M241*N241)</f>
        <v>300</v>
      </c>
      <c r="P241">
        <f>O241*$S$3</f>
        <v>4.5</v>
      </c>
      <c r="Q241">
        <f>O241*$S$4</f>
        <v>6</v>
      </c>
    </row>
    <row r="242" spans="1:17">
      <c r="A242" s="2">
        <v>241</v>
      </c>
      <c r="B242" s="4">
        <f>DAY(G242)</f>
        <v>21</v>
      </c>
      <c r="C242">
        <f>MONTH(G242)</f>
        <v>9</v>
      </c>
      <c r="D242">
        <f>YEAR(G242)</f>
        <v>2023</v>
      </c>
      <c r="E242" t="str">
        <f>TEXT(G242,"DDDD")</f>
        <v>Thursday</v>
      </c>
      <c r="F242" t="str">
        <f>TEXT(G242,"MMMM")</f>
        <v>September</v>
      </c>
      <c r="G242" s="3">
        <v>45190</v>
      </c>
      <c r="H242" s="4" t="s">
        <v>274</v>
      </c>
      <c r="I242" s="4" t="s">
        <v>3</v>
      </c>
      <c r="J242" s="4" t="str">
        <f>IF(K242&lt;30, "Young Adult","Adult")</f>
        <v>Young Adult</v>
      </c>
      <c r="K242" s="4">
        <v>23</v>
      </c>
      <c r="L242" s="4" t="s">
        <v>8</v>
      </c>
      <c r="M242" s="4">
        <v>3</v>
      </c>
      <c r="N242" s="5">
        <v>25</v>
      </c>
      <c r="O242">
        <f>(M242*N242)</f>
        <v>75</v>
      </c>
      <c r="P242">
        <f>O242*$S$3</f>
        <v>1.125</v>
      </c>
      <c r="Q242">
        <f>O242*$S$4</f>
        <v>1.5</v>
      </c>
    </row>
    <row r="243" spans="1:17">
      <c r="A243" s="2">
        <v>242</v>
      </c>
      <c r="B243" s="4">
        <f>DAY(G243)</f>
        <v>2</v>
      </c>
      <c r="C243">
        <f>MONTH(G243)</f>
        <v>5</v>
      </c>
      <c r="D243">
        <f>YEAR(G243)</f>
        <v>2023</v>
      </c>
      <c r="E243" t="str">
        <f>TEXT(G243,"DDDD")</f>
        <v>Tuesday</v>
      </c>
      <c r="F243" t="str">
        <f>TEXT(G243,"MMMM")</f>
        <v>May</v>
      </c>
      <c r="G243" s="3">
        <v>45048</v>
      </c>
      <c r="H243" s="4" t="s">
        <v>275</v>
      </c>
      <c r="I243" s="4" t="s">
        <v>4</v>
      </c>
      <c r="J243" s="4" t="str">
        <f>IF(K243&lt;30, "Young Adult","Adult")</f>
        <v>Young Adult</v>
      </c>
      <c r="K243" s="4">
        <v>21</v>
      </c>
      <c r="L243" s="4" t="s">
        <v>7</v>
      </c>
      <c r="M243" s="4">
        <v>1</v>
      </c>
      <c r="N243" s="5">
        <v>25</v>
      </c>
      <c r="O243">
        <f>(M243*N243)</f>
        <v>25</v>
      </c>
      <c r="P243">
        <f>O243*$S$3</f>
        <v>0.375</v>
      </c>
      <c r="Q243">
        <f>O243*$S$4</f>
        <v>0.5</v>
      </c>
    </row>
    <row r="244" spans="1:17">
      <c r="A244" s="2">
        <v>243</v>
      </c>
      <c r="B244" s="4">
        <f>DAY(G244)</f>
        <v>23</v>
      </c>
      <c r="C244">
        <f>MONTH(G244)</f>
        <v>5</v>
      </c>
      <c r="D244">
        <f>YEAR(G244)</f>
        <v>2023</v>
      </c>
      <c r="E244" t="str">
        <f>TEXT(G244,"DDDD")</f>
        <v>Tuesday</v>
      </c>
      <c r="F244" t="str">
        <f>TEXT(G244,"MMMM")</f>
        <v>May</v>
      </c>
      <c r="G244" s="3">
        <v>45069</v>
      </c>
      <c r="H244" s="4" t="s">
        <v>276</v>
      </c>
      <c r="I244" s="4" t="s">
        <v>3</v>
      </c>
      <c r="J244" s="4" t="str">
        <f>IF(K244&lt;30, "Young Adult","Adult")</f>
        <v>Adult</v>
      </c>
      <c r="K244" s="4">
        <v>47</v>
      </c>
      <c r="L244" s="4" t="s">
        <v>8</v>
      </c>
      <c r="M244" s="4">
        <v>3</v>
      </c>
      <c r="N244" s="5">
        <v>300</v>
      </c>
      <c r="O244">
        <f>(M244*N244)</f>
        <v>900</v>
      </c>
      <c r="P244">
        <f>O244*$S$3</f>
        <v>13.5</v>
      </c>
      <c r="Q244">
        <f>O244*$S$4</f>
        <v>18</v>
      </c>
    </row>
    <row r="245" spans="1:17">
      <c r="A245" s="2">
        <v>244</v>
      </c>
      <c r="B245" s="4">
        <f>DAY(G245)</f>
        <v>9</v>
      </c>
      <c r="C245">
        <f>MONTH(G245)</f>
        <v>12</v>
      </c>
      <c r="D245">
        <f>YEAR(G245)</f>
        <v>2023</v>
      </c>
      <c r="E245" t="str">
        <f>TEXT(G245,"DDDD")</f>
        <v>Saturday</v>
      </c>
      <c r="F245" t="str">
        <f>TEXT(G245,"MMMM")</f>
        <v>December</v>
      </c>
      <c r="G245" s="3">
        <v>45269</v>
      </c>
      <c r="H245" s="4" t="s">
        <v>277</v>
      </c>
      <c r="I245" s="4" t="s">
        <v>4</v>
      </c>
      <c r="J245" s="4" t="str">
        <f>IF(K245&lt;30, "Young Adult","Adult")</f>
        <v>Young Adult</v>
      </c>
      <c r="K245" s="4">
        <v>28</v>
      </c>
      <c r="L245" s="4" t="s">
        <v>6</v>
      </c>
      <c r="M245" s="4">
        <v>2</v>
      </c>
      <c r="N245" s="5">
        <v>50</v>
      </c>
      <c r="O245">
        <f>(M245*N245)</f>
        <v>100</v>
      </c>
      <c r="P245">
        <f>O245*$S$3</f>
        <v>1.5</v>
      </c>
      <c r="Q245">
        <f>O245*$S$4</f>
        <v>2</v>
      </c>
    </row>
    <row r="246" spans="1:17">
      <c r="A246" s="2">
        <v>245</v>
      </c>
      <c r="B246" s="4">
        <f>DAY(G246)</f>
        <v>6</v>
      </c>
      <c r="C246">
        <f>MONTH(G246)</f>
        <v>9</v>
      </c>
      <c r="D246">
        <f>YEAR(G246)</f>
        <v>2023</v>
      </c>
      <c r="E246" t="str">
        <f>TEXT(G246,"DDDD")</f>
        <v>Wednesday</v>
      </c>
      <c r="F246" t="str">
        <f>TEXT(G246,"MMMM")</f>
        <v>September</v>
      </c>
      <c r="G246" s="3">
        <v>45175</v>
      </c>
      <c r="H246" s="4" t="s">
        <v>278</v>
      </c>
      <c r="I246" s="4" t="s">
        <v>4</v>
      </c>
      <c r="J246" s="4" t="str">
        <f>IF(K246&lt;30, "Young Adult","Adult")</f>
        <v>Adult</v>
      </c>
      <c r="K246" s="4">
        <v>47</v>
      </c>
      <c r="L246" s="4" t="s">
        <v>7</v>
      </c>
      <c r="M246" s="4">
        <v>3</v>
      </c>
      <c r="N246" s="5">
        <v>30</v>
      </c>
      <c r="O246">
        <f>(M246*N246)</f>
        <v>90</v>
      </c>
      <c r="P246">
        <f>O246*$S$3</f>
        <v>1.3499999999999999</v>
      </c>
      <c r="Q246">
        <f>O246*$S$4</f>
        <v>1.8</v>
      </c>
    </row>
    <row r="247" spans="1:17">
      <c r="A247" s="2">
        <v>246</v>
      </c>
      <c r="B247" s="4">
        <f>DAY(G247)</f>
        <v>20</v>
      </c>
      <c r="C247">
        <f>MONTH(G247)</f>
        <v>4</v>
      </c>
      <c r="D247">
        <f>YEAR(G247)</f>
        <v>2023</v>
      </c>
      <c r="E247" t="str">
        <f>TEXT(G247,"DDDD")</f>
        <v>Thursday</v>
      </c>
      <c r="F247" t="str">
        <f>TEXT(G247,"MMMM")</f>
        <v>April</v>
      </c>
      <c r="G247" s="3">
        <v>45036</v>
      </c>
      <c r="H247" s="4" t="s">
        <v>279</v>
      </c>
      <c r="I247" s="4" t="s">
        <v>3</v>
      </c>
      <c r="J247" s="4" t="str">
        <f>IF(K247&lt;30, "Young Adult","Adult")</f>
        <v>Adult</v>
      </c>
      <c r="K247" s="4">
        <v>48</v>
      </c>
      <c r="L247" s="4" t="s">
        <v>8</v>
      </c>
      <c r="M247" s="4">
        <v>2</v>
      </c>
      <c r="N247" s="5">
        <v>25</v>
      </c>
      <c r="O247">
        <f>(M247*N247)</f>
        <v>50</v>
      </c>
      <c r="P247">
        <f>O247*$S$3</f>
        <v>0.75</v>
      </c>
      <c r="Q247">
        <f>O247*$S$4</f>
        <v>1</v>
      </c>
    </row>
    <row r="248" spans="1:17">
      <c r="A248" s="2">
        <v>247</v>
      </c>
      <c r="B248" s="4">
        <f>DAY(G248)</f>
        <v>4</v>
      </c>
      <c r="C248">
        <f>MONTH(G248)</f>
        <v>10</v>
      </c>
      <c r="D248">
        <f>YEAR(G248)</f>
        <v>2023</v>
      </c>
      <c r="E248" t="str">
        <f>TEXT(G248,"DDDD")</f>
        <v>Wednesday</v>
      </c>
      <c r="F248" t="str">
        <f>TEXT(G248,"MMMM")</f>
        <v>October</v>
      </c>
      <c r="G248" s="3">
        <v>45203</v>
      </c>
      <c r="H248" s="4" t="s">
        <v>280</v>
      </c>
      <c r="I248" s="4" t="s">
        <v>4</v>
      </c>
      <c r="J248" s="4" t="str">
        <f>IF(K248&lt;30, "Young Adult","Adult")</f>
        <v>Adult</v>
      </c>
      <c r="K248" s="4">
        <v>41</v>
      </c>
      <c r="L248" s="4" t="s">
        <v>8</v>
      </c>
      <c r="M248" s="4">
        <v>2</v>
      </c>
      <c r="N248" s="5">
        <v>30</v>
      </c>
      <c r="O248">
        <f>(M248*N248)</f>
        <v>60</v>
      </c>
      <c r="P248">
        <f>O248*$S$3</f>
        <v>0.89999999999999991</v>
      </c>
      <c r="Q248">
        <f>O248*$S$4</f>
        <v>1.2</v>
      </c>
    </row>
    <row r="249" spans="1:17">
      <c r="A249" s="2">
        <v>248</v>
      </c>
      <c r="B249" s="4">
        <f>DAY(G249)</f>
        <v>9</v>
      </c>
      <c r="C249">
        <f>MONTH(G249)</f>
        <v>3</v>
      </c>
      <c r="D249">
        <f>YEAR(G249)</f>
        <v>2023</v>
      </c>
      <c r="E249" t="str">
        <f>TEXT(G249,"DDDD")</f>
        <v>Thursday</v>
      </c>
      <c r="F249" t="str">
        <f>TEXT(G249,"MMMM")</f>
        <v>March</v>
      </c>
      <c r="G249" s="3">
        <v>44994</v>
      </c>
      <c r="H249" s="4" t="s">
        <v>281</v>
      </c>
      <c r="I249" s="4" t="s">
        <v>4</v>
      </c>
      <c r="J249" s="4" t="str">
        <f>IF(K249&lt;30, "Young Adult","Adult")</f>
        <v>Young Adult</v>
      </c>
      <c r="K249" s="4">
        <v>26</v>
      </c>
      <c r="L249" s="4" t="s">
        <v>7</v>
      </c>
      <c r="M249" s="4">
        <v>3</v>
      </c>
      <c r="N249" s="5">
        <v>300</v>
      </c>
      <c r="O249">
        <f>(M249*N249)</f>
        <v>900</v>
      </c>
      <c r="P249">
        <f>O249*$S$3</f>
        <v>13.5</v>
      </c>
      <c r="Q249">
        <f>O249*$S$4</f>
        <v>18</v>
      </c>
    </row>
    <row r="250" spans="1:17">
      <c r="A250" s="2">
        <v>249</v>
      </c>
      <c r="B250" s="4">
        <f>DAY(G250)</f>
        <v>20</v>
      </c>
      <c r="C250">
        <f>MONTH(G250)</f>
        <v>10</v>
      </c>
      <c r="D250">
        <f>YEAR(G250)</f>
        <v>2023</v>
      </c>
      <c r="E250" t="str">
        <f>TEXT(G250,"DDDD")</f>
        <v>Friday</v>
      </c>
      <c r="F250" t="str">
        <f>TEXT(G250,"MMMM")</f>
        <v>October</v>
      </c>
      <c r="G250" s="3">
        <v>45219</v>
      </c>
      <c r="H250" s="4" t="s">
        <v>282</v>
      </c>
      <c r="I250" s="4" t="s">
        <v>4</v>
      </c>
      <c r="J250" s="4" t="str">
        <f>IF(K250&lt;30, "Young Adult","Adult")</f>
        <v>Young Adult</v>
      </c>
      <c r="K250" s="4">
        <v>20</v>
      </c>
      <c r="L250" s="4" t="s">
        <v>7</v>
      </c>
      <c r="M250" s="4">
        <v>1</v>
      </c>
      <c r="N250" s="5">
        <v>50</v>
      </c>
      <c r="O250">
        <f>(M250*N250)</f>
        <v>50</v>
      </c>
      <c r="P250">
        <f>O250*$S$3</f>
        <v>0.75</v>
      </c>
      <c r="Q250">
        <f>O250*$S$4</f>
        <v>1</v>
      </c>
    </row>
    <row r="251" spans="1:17">
      <c r="A251" s="2">
        <v>250</v>
      </c>
      <c r="B251" s="4">
        <f>DAY(G251)</f>
        <v>23</v>
      </c>
      <c r="C251">
        <f>MONTH(G251)</f>
        <v>10</v>
      </c>
      <c r="D251">
        <f>YEAR(G251)</f>
        <v>2023</v>
      </c>
      <c r="E251" t="str">
        <f>TEXT(G251,"DDDD")</f>
        <v>Monday</v>
      </c>
      <c r="F251" t="str">
        <f>TEXT(G251,"MMMM")</f>
        <v>October</v>
      </c>
      <c r="G251" s="3">
        <v>45222</v>
      </c>
      <c r="H251" s="4" t="s">
        <v>283</v>
      </c>
      <c r="I251" s="4" t="s">
        <v>4</v>
      </c>
      <c r="J251" s="4" t="str">
        <f>IF(K251&lt;30, "Young Adult","Adult")</f>
        <v>Adult</v>
      </c>
      <c r="K251" s="4">
        <v>48</v>
      </c>
      <c r="L251" s="4" t="s">
        <v>8</v>
      </c>
      <c r="M251" s="4">
        <v>1</v>
      </c>
      <c r="N251" s="5">
        <v>50</v>
      </c>
      <c r="O251">
        <f>(M251*N251)</f>
        <v>50</v>
      </c>
      <c r="P251">
        <f>O251*$S$3</f>
        <v>0.75</v>
      </c>
      <c r="Q251">
        <f>O251*$S$4</f>
        <v>1</v>
      </c>
    </row>
    <row r="252" spans="1:17">
      <c r="A252" s="2">
        <v>251</v>
      </c>
      <c r="B252" s="4">
        <f>DAY(G252)</f>
        <v>31</v>
      </c>
      <c r="C252">
        <f>MONTH(G252)</f>
        <v>8</v>
      </c>
      <c r="D252">
        <f>YEAR(G252)</f>
        <v>2023</v>
      </c>
      <c r="E252" t="str">
        <f>TEXT(G252,"DDDD")</f>
        <v>Thursday</v>
      </c>
      <c r="F252" t="str">
        <f>TEXT(G252,"MMMM")</f>
        <v>August</v>
      </c>
      <c r="G252" s="3">
        <v>45169</v>
      </c>
      <c r="H252" s="4" t="s">
        <v>284</v>
      </c>
      <c r="I252" s="4" t="s">
        <v>3</v>
      </c>
      <c r="J252" s="4" t="str">
        <f>IF(K252&lt;30, "Young Adult","Adult")</f>
        <v>Adult</v>
      </c>
      <c r="K252" s="4">
        <v>57</v>
      </c>
      <c r="L252" s="4" t="s">
        <v>6</v>
      </c>
      <c r="M252" s="4">
        <v>4</v>
      </c>
      <c r="N252" s="5">
        <v>50</v>
      </c>
      <c r="O252">
        <f>(M252*N252)</f>
        <v>200</v>
      </c>
      <c r="P252">
        <f>O252*$S$3</f>
        <v>3</v>
      </c>
      <c r="Q252">
        <f>O252*$S$4</f>
        <v>4</v>
      </c>
    </row>
    <row r="253" spans="1:17">
      <c r="A253" s="2">
        <v>252</v>
      </c>
      <c r="B253" s="4">
        <f>DAY(G253)</f>
        <v>5</v>
      </c>
      <c r="C253">
        <f>MONTH(G253)</f>
        <v>5</v>
      </c>
      <c r="D253">
        <f>YEAR(G253)</f>
        <v>2023</v>
      </c>
      <c r="E253" t="str">
        <f>TEXT(G253,"DDDD")</f>
        <v>Friday</v>
      </c>
      <c r="F253" t="str">
        <f>TEXT(G253,"MMMM")</f>
        <v>May</v>
      </c>
      <c r="G253" s="3">
        <v>45051</v>
      </c>
      <c r="H253" s="4" t="s">
        <v>285</v>
      </c>
      <c r="I253" s="4" t="s">
        <v>4</v>
      </c>
      <c r="J253" s="4" t="str">
        <f>IF(K253&lt;30, "Young Adult","Adult")</f>
        <v>Adult</v>
      </c>
      <c r="K253" s="4">
        <v>54</v>
      </c>
      <c r="L253" s="4" t="s">
        <v>8</v>
      </c>
      <c r="M253" s="4">
        <v>1</v>
      </c>
      <c r="N253" s="5">
        <v>300</v>
      </c>
      <c r="O253">
        <f>(M253*N253)</f>
        <v>300</v>
      </c>
      <c r="P253">
        <f>O253*$S$3</f>
        <v>4.5</v>
      </c>
      <c r="Q253">
        <f>O253*$S$4</f>
        <v>6</v>
      </c>
    </row>
    <row r="254" spans="1:17">
      <c r="A254" s="2">
        <v>253</v>
      </c>
      <c r="B254" s="4">
        <f>DAY(G254)</f>
        <v>31</v>
      </c>
      <c r="C254">
        <f>MONTH(G254)</f>
        <v>8</v>
      </c>
      <c r="D254">
        <f>YEAR(G254)</f>
        <v>2023</v>
      </c>
      <c r="E254" t="str">
        <f>TEXT(G254,"DDDD")</f>
        <v>Thursday</v>
      </c>
      <c r="F254" t="str">
        <f>TEXT(G254,"MMMM")</f>
        <v>August</v>
      </c>
      <c r="G254" s="3">
        <v>45169</v>
      </c>
      <c r="H254" s="4" t="s">
        <v>286</v>
      </c>
      <c r="I254" s="4" t="s">
        <v>3</v>
      </c>
      <c r="J254" s="4" t="str">
        <f>IF(K254&lt;30, "Young Adult","Adult")</f>
        <v>Adult</v>
      </c>
      <c r="K254" s="4">
        <v>53</v>
      </c>
      <c r="L254" s="4" t="s">
        <v>7</v>
      </c>
      <c r="M254" s="4">
        <v>4</v>
      </c>
      <c r="N254" s="5">
        <v>500</v>
      </c>
      <c r="O254">
        <f>(M254*N254)</f>
        <v>2000</v>
      </c>
      <c r="P254">
        <f>O254*$S$3</f>
        <v>30</v>
      </c>
      <c r="Q254">
        <f>O254*$S$4</f>
        <v>40</v>
      </c>
    </row>
    <row r="255" spans="1:17">
      <c r="A255" s="2">
        <v>254</v>
      </c>
      <c r="B255" s="4">
        <f>DAY(G255)</f>
        <v>28</v>
      </c>
      <c r="C255">
        <f>MONTH(G255)</f>
        <v>7</v>
      </c>
      <c r="D255">
        <f>YEAR(G255)</f>
        <v>2023</v>
      </c>
      <c r="E255" t="str">
        <f>TEXT(G255,"DDDD")</f>
        <v>Friday</v>
      </c>
      <c r="F255" t="str">
        <f>TEXT(G255,"MMMM")</f>
        <v>July</v>
      </c>
      <c r="G255" s="3">
        <v>45135</v>
      </c>
      <c r="H255" s="4" t="s">
        <v>287</v>
      </c>
      <c r="I255" s="4" t="s">
        <v>4</v>
      </c>
      <c r="J255" s="4" t="str">
        <f>IF(K255&lt;30, "Young Adult","Adult")</f>
        <v>Adult</v>
      </c>
      <c r="K255" s="4">
        <v>41</v>
      </c>
      <c r="L255" s="4" t="s">
        <v>8</v>
      </c>
      <c r="M255" s="4">
        <v>1</v>
      </c>
      <c r="N255" s="5">
        <v>500</v>
      </c>
      <c r="O255">
        <f>(M255*N255)</f>
        <v>500</v>
      </c>
      <c r="P255">
        <f>O255*$S$3</f>
        <v>7.5</v>
      </c>
      <c r="Q255">
        <f>O255*$S$4</f>
        <v>10</v>
      </c>
    </row>
    <row r="256" spans="1:17">
      <c r="A256" s="2">
        <v>255</v>
      </c>
      <c r="B256" s="4">
        <f>DAY(G256)</f>
        <v>8</v>
      </c>
      <c r="C256">
        <f>MONTH(G256)</f>
        <v>4</v>
      </c>
      <c r="D256">
        <f>YEAR(G256)</f>
        <v>2023</v>
      </c>
      <c r="E256" t="str">
        <f>TEXT(G256,"DDDD")</f>
        <v>Saturday</v>
      </c>
      <c r="F256" t="str">
        <f>TEXT(G256,"MMMM")</f>
        <v>April</v>
      </c>
      <c r="G256" s="3">
        <v>45024</v>
      </c>
      <c r="H256" s="4" t="s">
        <v>288</v>
      </c>
      <c r="I256" s="4" t="s">
        <v>4</v>
      </c>
      <c r="J256" s="4" t="str">
        <f>IF(K256&lt;30, "Young Adult","Adult")</f>
        <v>Adult</v>
      </c>
      <c r="K256" s="4">
        <v>48</v>
      </c>
      <c r="L256" s="4" t="s">
        <v>7</v>
      </c>
      <c r="M256" s="4">
        <v>1</v>
      </c>
      <c r="N256" s="5">
        <v>30</v>
      </c>
      <c r="O256">
        <f>(M256*N256)</f>
        <v>30</v>
      </c>
      <c r="P256">
        <f>O256*$S$3</f>
        <v>0.44999999999999996</v>
      </c>
      <c r="Q256">
        <f>O256*$S$4</f>
        <v>0.6</v>
      </c>
    </row>
    <row r="257" spans="1:17">
      <c r="A257" s="2">
        <v>256</v>
      </c>
      <c r="B257" s="4">
        <f>DAY(G257)</f>
        <v>18</v>
      </c>
      <c r="C257">
        <f>MONTH(G257)</f>
        <v>2</v>
      </c>
      <c r="D257">
        <f>YEAR(G257)</f>
        <v>2023</v>
      </c>
      <c r="E257" t="str">
        <f>TEXT(G257,"DDDD")</f>
        <v>Saturday</v>
      </c>
      <c r="F257" t="str">
        <f>TEXT(G257,"MMMM")</f>
        <v>February</v>
      </c>
      <c r="G257" s="3">
        <v>44975</v>
      </c>
      <c r="H257" s="4" t="s">
        <v>289</v>
      </c>
      <c r="I257" s="4" t="s">
        <v>4</v>
      </c>
      <c r="J257" s="4" t="str">
        <f>IF(K257&lt;30, "Young Adult","Adult")</f>
        <v>Young Adult</v>
      </c>
      <c r="K257" s="4">
        <v>23</v>
      </c>
      <c r="L257" s="4" t="s">
        <v>7</v>
      </c>
      <c r="M257" s="4">
        <v>2</v>
      </c>
      <c r="N257" s="5">
        <v>500</v>
      </c>
      <c r="O257">
        <f>(M257*N257)</f>
        <v>1000</v>
      </c>
      <c r="P257">
        <f>O257*$S$3</f>
        <v>15</v>
      </c>
      <c r="Q257">
        <f>O257*$S$4</f>
        <v>20</v>
      </c>
    </row>
    <row r="258" spans="1:17">
      <c r="A258" s="2">
        <v>257</v>
      </c>
      <c r="B258" s="4">
        <f>DAY(G258)</f>
        <v>19</v>
      </c>
      <c r="C258">
        <f>MONTH(G258)</f>
        <v>2</v>
      </c>
      <c r="D258">
        <f>YEAR(G258)</f>
        <v>2023</v>
      </c>
      <c r="E258" t="str">
        <f>TEXT(G258,"DDDD")</f>
        <v>Sunday</v>
      </c>
      <c r="F258" t="str">
        <f>TEXT(G258,"MMMM")</f>
        <v>February</v>
      </c>
      <c r="G258" s="3">
        <v>44976</v>
      </c>
      <c r="H258" s="4" t="s">
        <v>290</v>
      </c>
      <c r="I258" s="4" t="s">
        <v>4</v>
      </c>
      <c r="J258" s="4" t="str">
        <f>IF(K258&lt;30, "Young Adult","Adult")</f>
        <v>Young Adult</v>
      </c>
      <c r="K258" s="4">
        <v>19</v>
      </c>
      <c r="L258" s="4" t="s">
        <v>6</v>
      </c>
      <c r="M258" s="4">
        <v>4</v>
      </c>
      <c r="N258" s="5">
        <v>500</v>
      </c>
      <c r="O258">
        <f>(M258*N258)</f>
        <v>2000</v>
      </c>
      <c r="P258">
        <f>O258*$S$3</f>
        <v>30</v>
      </c>
      <c r="Q258">
        <f>O258*$S$4</f>
        <v>40</v>
      </c>
    </row>
    <row r="259" spans="1:17">
      <c r="A259" s="2">
        <v>258</v>
      </c>
      <c r="B259" s="4">
        <f>DAY(G259)</f>
        <v>4</v>
      </c>
      <c r="C259">
        <f>MONTH(G259)</f>
        <v>12</v>
      </c>
      <c r="D259">
        <f>YEAR(G259)</f>
        <v>2023</v>
      </c>
      <c r="E259" t="str">
        <f>TEXT(G259,"DDDD")</f>
        <v>Monday</v>
      </c>
      <c r="F259" t="str">
        <f>TEXT(G259,"MMMM")</f>
        <v>December</v>
      </c>
      <c r="G259" s="3">
        <v>45264</v>
      </c>
      <c r="H259" s="4" t="s">
        <v>291</v>
      </c>
      <c r="I259" s="4" t="s">
        <v>3</v>
      </c>
      <c r="J259" s="4" t="str">
        <f>IF(K259&lt;30, "Young Adult","Adult")</f>
        <v>Adult</v>
      </c>
      <c r="K259" s="4">
        <v>37</v>
      </c>
      <c r="L259" s="4" t="s">
        <v>7</v>
      </c>
      <c r="M259" s="4">
        <v>1</v>
      </c>
      <c r="N259" s="5">
        <v>50</v>
      </c>
      <c r="O259">
        <f>(M259*N259)</f>
        <v>50</v>
      </c>
      <c r="P259">
        <f>O259*$S$3</f>
        <v>0.75</v>
      </c>
      <c r="Q259">
        <f>O259*$S$4</f>
        <v>1</v>
      </c>
    </row>
    <row r="260" spans="1:17">
      <c r="A260" s="2">
        <v>259</v>
      </c>
      <c r="B260" s="4">
        <f>DAY(G260)</f>
        <v>9</v>
      </c>
      <c r="C260">
        <f>MONTH(G260)</f>
        <v>8</v>
      </c>
      <c r="D260">
        <f>YEAR(G260)</f>
        <v>2023</v>
      </c>
      <c r="E260" t="str">
        <f>TEXT(G260,"DDDD")</f>
        <v>Wednesday</v>
      </c>
      <c r="F260" t="str">
        <f>TEXT(G260,"MMMM")</f>
        <v>August</v>
      </c>
      <c r="G260" s="3">
        <v>45147</v>
      </c>
      <c r="H260" s="4" t="s">
        <v>292</v>
      </c>
      <c r="I260" s="4" t="s">
        <v>3</v>
      </c>
      <c r="J260" s="4" t="str">
        <f>IF(K260&lt;30, "Young Adult","Adult")</f>
        <v>Adult</v>
      </c>
      <c r="K260" s="4">
        <v>45</v>
      </c>
      <c r="L260" s="4" t="s">
        <v>7</v>
      </c>
      <c r="M260" s="4">
        <v>4</v>
      </c>
      <c r="N260" s="5">
        <v>50</v>
      </c>
      <c r="O260">
        <f>(M260*N260)</f>
        <v>200</v>
      </c>
      <c r="P260">
        <f>O260*$S$3</f>
        <v>3</v>
      </c>
      <c r="Q260">
        <f>O260*$S$4</f>
        <v>4</v>
      </c>
    </row>
    <row r="261" spans="1:17">
      <c r="A261" s="2">
        <v>260</v>
      </c>
      <c r="B261" s="4">
        <f>DAY(G261)</f>
        <v>1</v>
      </c>
      <c r="C261">
        <f>MONTH(G261)</f>
        <v>7</v>
      </c>
      <c r="D261">
        <f>YEAR(G261)</f>
        <v>2023</v>
      </c>
      <c r="E261" t="str">
        <f>TEXT(G261,"DDDD")</f>
        <v>Saturday</v>
      </c>
      <c r="F261" t="str">
        <f>TEXT(G261,"MMMM")</f>
        <v>July</v>
      </c>
      <c r="G261" s="3">
        <v>45108</v>
      </c>
      <c r="H261" s="4" t="s">
        <v>293</v>
      </c>
      <c r="I261" s="4" t="s">
        <v>4</v>
      </c>
      <c r="J261" s="4" t="str">
        <f>IF(K261&lt;30, "Young Adult","Adult")</f>
        <v>Young Adult</v>
      </c>
      <c r="K261" s="4">
        <v>28</v>
      </c>
      <c r="L261" s="4" t="s">
        <v>6</v>
      </c>
      <c r="M261" s="4">
        <v>2</v>
      </c>
      <c r="N261" s="5">
        <v>30</v>
      </c>
      <c r="O261">
        <f>(M261*N261)</f>
        <v>60</v>
      </c>
      <c r="P261">
        <f>O261*$S$3</f>
        <v>0.89999999999999991</v>
      </c>
      <c r="Q261">
        <f>O261*$S$4</f>
        <v>1.2</v>
      </c>
    </row>
    <row r="262" spans="1:17">
      <c r="A262" s="2">
        <v>261</v>
      </c>
      <c r="B262" s="4">
        <f>DAY(G262)</f>
        <v>5</v>
      </c>
      <c r="C262">
        <f>MONTH(G262)</f>
        <v>8</v>
      </c>
      <c r="D262">
        <f>YEAR(G262)</f>
        <v>2023</v>
      </c>
      <c r="E262" t="str">
        <f>TEXT(G262,"DDDD")</f>
        <v>Saturday</v>
      </c>
      <c r="F262" t="str">
        <f>TEXT(G262,"MMMM")</f>
        <v>August</v>
      </c>
      <c r="G262" s="3">
        <v>45143</v>
      </c>
      <c r="H262" s="4" t="s">
        <v>294</v>
      </c>
      <c r="I262" s="4" t="s">
        <v>4</v>
      </c>
      <c r="J262" s="4" t="str">
        <f>IF(K262&lt;30, "Young Adult","Adult")</f>
        <v>Young Adult</v>
      </c>
      <c r="K262" s="4">
        <v>21</v>
      </c>
      <c r="L262" s="4" t="s">
        <v>7</v>
      </c>
      <c r="M262" s="4">
        <v>2</v>
      </c>
      <c r="N262" s="5">
        <v>25</v>
      </c>
      <c r="O262">
        <f>(M262*N262)</f>
        <v>50</v>
      </c>
      <c r="P262">
        <f>O262*$S$3</f>
        <v>0.75</v>
      </c>
      <c r="Q262">
        <f>O262*$S$4</f>
        <v>1</v>
      </c>
    </row>
    <row r="263" spans="1:17">
      <c r="A263" s="2">
        <v>262</v>
      </c>
      <c r="B263" s="4">
        <f>DAY(G263)</f>
        <v>30</v>
      </c>
      <c r="C263">
        <f>MONTH(G263)</f>
        <v>7</v>
      </c>
      <c r="D263">
        <f>YEAR(G263)</f>
        <v>2023</v>
      </c>
      <c r="E263" t="str">
        <f>TEXT(G263,"DDDD")</f>
        <v>Sunday</v>
      </c>
      <c r="F263" t="str">
        <f>TEXT(G263,"MMMM")</f>
        <v>July</v>
      </c>
      <c r="G263" s="3">
        <v>45137</v>
      </c>
      <c r="H263" s="4" t="s">
        <v>295</v>
      </c>
      <c r="I263" s="4" t="s">
        <v>3</v>
      </c>
      <c r="J263" s="4" t="str">
        <f>IF(K263&lt;30, "Young Adult","Adult")</f>
        <v>Adult</v>
      </c>
      <c r="K263" s="4">
        <v>32</v>
      </c>
      <c r="L263" s="4" t="s">
        <v>6</v>
      </c>
      <c r="M263" s="4">
        <v>4</v>
      </c>
      <c r="N263" s="5">
        <v>30</v>
      </c>
      <c r="O263">
        <f>(M263*N263)</f>
        <v>120</v>
      </c>
      <c r="P263">
        <f>O263*$S$3</f>
        <v>1.7999999999999998</v>
      </c>
      <c r="Q263">
        <f>O263*$S$4</f>
        <v>2.4</v>
      </c>
    </row>
    <row r="264" spans="1:17">
      <c r="A264" s="2">
        <v>263</v>
      </c>
      <c r="B264" s="4">
        <f>DAY(G264)</f>
        <v>28</v>
      </c>
      <c r="C264">
        <f>MONTH(G264)</f>
        <v>8</v>
      </c>
      <c r="D264">
        <f>YEAR(G264)</f>
        <v>2023</v>
      </c>
      <c r="E264" t="str">
        <f>TEXT(G264,"DDDD")</f>
        <v>Monday</v>
      </c>
      <c r="F264" t="str">
        <f>TEXT(G264,"MMMM")</f>
        <v>August</v>
      </c>
      <c r="G264" s="3">
        <v>45166</v>
      </c>
      <c r="H264" s="4" t="s">
        <v>296</v>
      </c>
      <c r="I264" s="4" t="s">
        <v>4</v>
      </c>
      <c r="J264" s="4" t="str">
        <f>IF(K264&lt;30, "Young Adult","Adult")</f>
        <v>Young Adult</v>
      </c>
      <c r="K264" s="4">
        <v>23</v>
      </c>
      <c r="L264" s="4" t="s">
        <v>6</v>
      </c>
      <c r="M264" s="4">
        <v>2</v>
      </c>
      <c r="N264" s="5">
        <v>30</v>
      </c>
      <c r="O264">
        <f>(M264*N264)</f>
        <v>60</v>
      </c>
      <c r="P264">
        <f>O264*$S$3</f>
        <v>0.89999999999999991</v>
      </c>
      <c r="Q264">
        <f>O264*$S$4</f>
        <v>1.2</v>
      </c>
    </row>
    <row r="265" spans="1:17">
      <c r="A265" s="2">
        <v>264</v>
      </c>
      <c r="B265" s="4">
        <f>DAY(G265)</f>
        <v>28</v>
      </c>
      <c r="C265">
        <f>MONTH(G265)</f>
        <v>1</v>
      </c>
      <c r="D265">
        <f>YEAR(G265)</f>
        <v>2023</v>
      </c>
      <c r="E265" t="str">
        <f>TEXT(G265,"DDDD")</f>
        <v>Saturday</v>
      </c>
      <c r="F265" t="str">
        <f>TEXT(G265,"MMMM")</f>
        <v>January</v>
      </c>
      <c r="G265" s="3">
        <v>44954</v>
      </c>
      <c r="H265" s="4" t="s">
        <v>297</v>
      </c>
      <c r="I265" s="4" t="s">
        <v>4</v>
      </c>
      <c r="J265" s="4" t="str">
        <f>IF(K265&lt;30, "Young Adult","Adult")</f>
        <v>Adult</v>
      </c>
      <c r="K265" s="4">
        <v>47</v>
      </c>
      <c r="L265" s="4" t="s">
        <v>7</v>
      </c>
      <c r="M265" s="4">
        <v>3</v>
      </c>
      <c r="N265" s="5">
        <v>300</v>
      </c>
      <c r="O265">
        <f>(M265*N265)</f>
        <v>900</v>
      </c>
      <c r="P265">
        <f>O265*$S$3</f>
        <v>13.5</v>
      </c>
      <c r="Q265">
        <f>O265*$S$4</f>
        <v>18</v>
      </c>
    </row>
    <row r="266" spans="1:17">
      <c r="A266" s="2">
        <v>265</v>
      </c>
      <c r="B266" s="4">
        <f>DAY(G266)</f>
        <v>11</v>
      </c>
      <c r="C266">
        <f>MONTH(G266)</f>
        <v>12</v>
      </c>
      <c r="D266">
        <f>YEAR(G266)</f>
        <v>2023</v>
      </c>
      <c r="E266" t="str">
        <f>TEXT(G266,"DDDD")</f>
        <v>Monday</v>
      </c>
      <c r="F266" t="str">
        <f>TEXT(G266,"MMMM")</f>
        <v>December</v>
      </c>
      <c r="G266" s="3">
        <v>45271</v>
      </c>
      <c r="H266" s="4" t="s">
        <v>298</v>
      </c>
      <c r="I266" s="4" t="s">
        <v>4</v>
      </c>
      <c r="J266" s="4" t="str">
        <f>IF(K266&lt;30, "Young Adult","Adult")</f>
        <v>Adult</v>
      </c>
      <c r="K266" s="4">
        <v>55</v>
      </c>
      <c r="L266" s="4" t="s">
        <v>7</v>
      </c>
      <c r="M266" s="4">
        <v>3</v>
      </c>
      <c r="N266" s="5">
        <v>300</v>
      </c>
      <c r="O266">
        <f>(M266*N266)</f>
        <v>900</v>
      </c>
      <c r="P266">
        <f>O266*$S$3</f>
        <v>13.5</v>
      </c>
      <c r="Q266">
        <f>O266*$S$4</f>
        <v>18</v>
      </c>
    </row>
    <row r="267" spans="1:17">
      <c r="A267" s="2">
        <v>266</v>
      </c>
      <c r="B267" s="4">
        <f>DAY(G267)</f>
        <v>1</v>
      </c>
      <c r="C267">
        <f>MONTH(G267)</f>
        <v>12</v>
      </c>
      <c r="D267">
        <f>YEAR(G267)</f>
        <v>2023</v>
      </c>
      <c r="E267" t="str">
        <f>TEXT(G267,"DDDD")</f>
        <v>Friday</v>
      </c>
      <c r="F267" t="str">
        <f>TEXT(G267,"MMMM")</f>
        <v>December</v>
      </c>
      <c r="G267" s="3">
        <v>45261</v>
      </c>
      <c r="H267" s="4" t="s">
        <v>299</v>
      </c>
      <c r="I267" s="4" t="s">
        <v>3</v>
      </c>
      <c r="J267" s="4" t="str">
        <f>IF(K267&lt;30, "Young Adult","Adult")</f>
        <v>Young Adult</v>
      </c>
      <c r="K267" s="4">
        <v>19</v>
      </c>
      <c r="L267" s="4" t="s">
        <v>8</v>
      </c>
      <c r="M267" s="4">
        <v>2</v>
      </c>
      <c r="N267" s="5">
        <v>30</v>
      </c>
      <c r="O267">
        <f>(M267*N267)</f>
        <v>60</v>
      </c>
      <c r="P267">
        <f>O267*$S$3</f>
        <v>0.89999999999999991</v>
      </c>
      <c r="Q267">
        <f>O267*$S$4</f>
        <v>1.2</v>
      </c>
    </row>
    <row r="268" spans="1:17">
      <c r="A268" s="2">
        <v>267</v>
      </c>
      <c r="B268" s="4">
        <f>DAY(G268)</f>
        <v>27</v>
      </c>
      <c r="C268">
        <f>MONTH(G268)</f>
        <v>11</v>
      </c>
      <c r="D268">
        <f>YEAR(G268)</f>
        <v>2023</v>
      </c>
      <c r="E268" t="str">
        <f>TEXT(G268,"DDDD")</f>
        <v>Monday</v>
      </c>
      <c r="F268" t="str">
        <f>TEXT(G268,"MMMM")</f>
        <v>November</v>
      </c>
      <c r="G268" s="3">
        <v>45257</v>
      </c>
      <c r="H268" s="4" t="s">
        <v>300</v>
      </c>
      <c r="I268" s="4" t="s">
        <v>3</v>
      </c>
      <c r="J268" s="4" t="str">
        <f>IF(K268&lt;30, "Young Adult","Adult")</f>
        <v>Adult</v>
      </c>
      <c r="K268" s="4">
        <v>32</v>
      </c>
      <c r="L268" s="4" t="s">
        <v>6</v>
      </c>
      <c r="M268" s="4">
        <v>3</v>
      </c>
      <c r="N268" s="5">
        <v>30</v>
      </c>
      <c r="O268">
        <f>(M268*N268)</f>
        <v>90</v>
      </c>
      <c r="P268">
        <f>O268*$S$3</f>
        <v>1.3499999999999999</v>
      </c>
      <c r="Q268">
        <f>O268*$S$4</f>
        <v>1.8</v>
      </c>
    </row>
    <row r="269" spans="1:17">
      <c r="A269" s="2">
        <v>268</v>
      </c>
      <c r="B269" s="4">
        <f>DAY(G269)</f>
        <v>20</v>
      </c>
      <c r="C269">
        <f>MONTH(G269)</f>
        <v>2</v>
      </c>
      <c r="D269">
        <f>YEAR(G269)</f>
        <v>2023</v>
      </c>
      <c r="E269" t="str">
        <f>TEXT(G269,"DDDD")</f>
        <v>Monday</v>
      </c>
      <c r="F269" t="str">
        <f>TEXT(G269,"MMMM")</f>
        <v>February</v>
      </c>
      <c r="G269" s="3">
        <v>44977</v>
      </c>
      <c r="H269" s="4" t="s">
        <v>301</v>
      </c>
      <c r="I269" s="4" t="s">
        <v>3</v>
      </c>
      <c r="J269" s="4" t="str">
        <f>IF(K269&lt;30, "Young Adult","Adult")</f>
        <v>Young Adult</v>
      </c>
      <c r="K269" s="4">
        <v>28</v>
      </c>
      <c r="L269" s="4" t="s">
        <v>8</v>
      </c>
      <c r="M269" s="4">
        <v>1</v>
      </c>
      <c r="N269" s="5">
        <v>30</v>
      </c>
      <c r="O269">
        <f>(M269*N269)</f>
        <v>30</v>
      </c>
      <c r="P269">
        <f>O269*$S$3</f>
        <v>0.44999999999999996</v>
      </c>
      <c r="Q269">
        <f>O269*$S$4</f>
        <v>0.6</v>
      </c>
    </row>
    <row r="270" spans="1:17">
      <c r="A270" s="2">
        <v>269</v>
      </c>
      <c r="B270" s="4">
        <f>DAY(G270)</f>
        <v>1</v>
      </c>
      <c r="C270">
        <f>MONTH(G270)</f>
        <v>2</v>
      </c>
      <c r="D270">
        <f>YEAR(G270)</f>
        <v>2023</v>
      </c>
      <c r="E270" t="str">
        <f>TEXT(G270,"DDDD")</f>
        <v>Wednesday</v>
      </c>
      <c r="F270" t="str">
        <f>TEXT(G270,"MMMM")</f>
        <v>February</v>
      </c>
      <c r="G270" s="3">
        <v>44958</v>
      </c>
      <c r="H270" s="4" t="s">
        <v>302</v>
      </c>
      <c r="I270" s="4" t="s">
        <v>4</v>
      </c>
      <c r="J270" s="4" t="str">
        <f>IF(K270&lt;30, "Young Adult","Adult")</f>
        <v>Young Adult</v>
      </c>
      <c r="K270" s="4">
        <v>25</v>
      </c>
      <c r="L270" s="4" t="s">
        <v>7</v>
      </c>
      <c r="M270" s="4">
        <v>4</v>
      </c>
      <c r="N270" s="5">
        <v>500</v>
      </c>
      <c r="O270">
        <f>(M270*N270)</f>
        <v>2000</v>
      </c>
      <c r="P270">
        <f>O270*$S$3</f>
        <v>30</v>
      </c>
      <c r="Q270">
        <f>O270*$S$4</f>
        <v>40</v>
      </c>
    </row>
    <row r="271" spans="1:17">
      <c r="A271" s="2">
        <v>270</v>
      </c>
      <c r="B271" s="4">
        <f>DAY(G271)</f>
        <v>26</v>
      </c>
      <c r="C271">
        <f>MONTH(G271)</f>
        <v>7</v>
      </c>
      <c r="D271">
        <f>YEAR(G271)</f>
        <v>2023</v>
      </c>
      <c r="E271" t="str">
        <f>TEXT(G271,"DDDD")</f>
        <v>Wednesday</v>
      </c>
      <c r="F271" t="str">
        <f>TEXT(G271,"MMMM")</f>
        <v>July</v>
      </c>
      <c r="G271" s="3">
        <v>45133</v>
      </c>
      <c r="H271" s="4" t="s">
        <v>303</v>
      </c>
      <c r="I271" s="4" t="s">
        <v>4</v>
      </c>
      <c r="J271" s="4" t="str">
        <f>IF(K271&lt;30, "Young Adult","Adult")</f>
        <v>Adult</v>
      </c>
      <c r="K271" s="4">
        <v>43</v>
      </c>
      <c r="L271" s="4" t="s">
        <v>8</v>
      </c>
      <c r="M271" s="4">
        <v>1</v>
      </c>
      <c r="N271" s="5">
        <v>300</v>
      </c>
      <c r="O271">
        <f>(M271*N271)</f>
        <v>300</v>
      </c>
      <c r="P271">
        <f>O271*$S$3</f>
        <v>4.5</v>
      </c>
      <c r="Q271">
        <f>O271*$S$4</f>
        <v>6</v>
      </c>
    </row>
    <row r="272" spans="1:17">
      <c r="A272" s="2">
        <v>271</v>
      </c>
      <c r="B272" s="4">
        <f>DAY(G272)</f>
        <v>23</v>
      </c>
      <c r="C272">
        <f>MONTH(G272)</f>
        <v>6</v>
      </c>
      <c r="D272">
        <f>YEAR(G272)</f>
        <v>2023</v>
      </c>
      <c r="E272" t="str">
        <f>TEXT(G272,"DDDD")</f>
        <v>Friday</v>
      </c>
      <c r="F272" t="str">
        <f>TEXT(G272,"MMMM")</f>
        <v>June</v>
      </c>
      <c r="G272" s="3">
        <v>45100</v>
      </c>
      <c r="H272" s="4" t="s">
        <v>304</v>
      </c>
      <c r="I272" s="4" t="s">
        <v>3</v>
      </c>
      <c r="J272" s="4" t="str">
        <f>IF(K272&lt;30, "Young Adult","Adult")</f>
        <v>Adult</v>
      </c>
      <c r="K272" s="4">
        <v>62</v>
      </c>
      <c r="L272" s="4" t="s">
        <v>6</v>
      </c>
      <c r="M272" s="4">
        <v>4</v>
      </c>
      <c r="N272" s="5">
        <v>30</v>
      </c>
      <c r="O272">
        <f>(M272*N272)</f>
        <v>120</v>
      </c>
      <c r="P272">
        <f>O272*$S$3</f>
        <v>1.7999999999999998</v>
      </c>
      <c r="Q272">
        <f>O272*$S$4</f>
        <v>2.4</v>
      </c>
    </row>
    <row r="273" spans="1:17">
      <c r="A273" s="2">
        <v>272</v>
      </c>
      <c r="B273" s="4">
        <f>DAY(G273)</f>
        <v>25</v>
      </c>
      <c r="C273">
        <f>MONTH(G273)</f>
        <v>2</v>
      </c>
      <c r="D273">
        <f>YEAR(G273)</f>
        <v>2023</v>
      </c>
      <c r="E273" t="str">
        <f>TEXT(G273,"DDDD")</f>
        <v>Saturday</v>
      </c>
      <c r="F273" t="str">
        <f>TEXT(G273,"MMMM")</f>
        <v>February</v>
      </c>
      <c r="G273" s="3">
        <v>44982</v>
      </c>
      <c r="H273" s="4" t="s">
        <v>305</v>
      </c>
      <c r="I273" s="4" t="s">
        <v>3</v>
      </c>
      <c r="J273" s="4" t="str">
        <f>IF(K273&lt;30, "Young Adult","Adult")</f>
        <v>Adult</v>
      </c>
      <c r="K273" s="4">
        <v>61</v>
      </c>
      <c r="L273" s="4" t="s">
        <v>8</v>
      </c>
      <c r="M273" s="4">
        <v>2</v>
      </c>
      <c r="N273" s="5">
        <v>50</v>
      </c>
      <c r="O273">
        <f>(M273*N273)</f>
        <v>100</v>
      </c>
      <c r="P273">
        <f>O273*$S$3</f>
        <v>1.5</v>
      </c>
      <c r="Q273">
        <f>O273*$S$4</f>
        <v>2</v>
      </c>
    </row>
    <row r="274" spans="1:17">
      <c r="A274" s="2">
        <v>273</v>
      </c>
      <c r="B274" s="4">
        <f>DAY(G274)</f>
        <v>8</v>
      </c>
      <c r="C274">
        <f>MONTH(G274)</f>
        <v>5</v>
      </c>
      <c r="D274">
        <f>YEAR(G274)</f>
        <v>2023</v>
      </c>
      <c r="E274" t="str">
        <f>TEXT(G274,"DDDD")</f>
        <v>Monday</v>
      </c>
      <c r="F274" t="str">
        <f>TEXT(G274,"MMMM")</f>
        <v>May</v>
      </c>
      <c r="G274" s="3">
        <v>45054</v>
      </c>
      <c r="H274" s="4" t="s">
        <v>306</v>
      </c>
      <c r="I274" s="4" t="s">
        <v>3</v>
      </c>
      <c r="J274" s="4" t="str">
        <f>IF(K274&lt;30, "Young Adult","Adult")</f>
        <v>Young Adult</v>
      </c>
      <c r="K274" s="4">
        <v>22</v>
      </c>
      <c r="L274" s="4" t="s">
        <v>6</v>
      </c>
      <c r="M274" s="4">
        <v>1</v>
      </c>
      <c r="N274" s="5">
        <v>50</v>
      </c>
      <c r="O274">
        <f>(M274*N274)</f>
        <v>50</v>
      </c>
      <c r="P274">
        <f>O274*$S$3</f>
        <v>0.75</v>
      </c>
      <c r="Q274">
        <f>O274*$S$4</f>
        <v>1</v>
      </c>
    </row>
    <row r="275" spans="1:17">
      <c r="A275" s="2">
        <v>274</v>
      </c>
      <c r="B275" s="4">
        <f>DAY(G275)</f>
        <v>9</v>
      </c>
      <c r="C275">
        <f>MONTH(G275)</f>
        <v>4</v>
      </c>
      <c r="D275">
        <f>YEAR(G275)</f>
        <v>2023</v>
      </c>
      <c r="E275" t="str">
        <f>TEXT(G275,"DDDD")</f>
        <v>Sunday</v>
      </c>
      <c r="F275" t="str">
        <f>TEXT(G275,"MMMM")</f>
        <v>April</v>
      </c>
      <c r="G275" s="3">
        <v>45025</v>
      </c>
      <c r="H275" s="4" t="s">
        <v>307</v>
      </c>
      <c r="I275" s="4" t="s">
        <v>3</v>
      </c>
      <c r="J275" s="4" t="str">
        <f>IF(K275&lt;30, "Young Adult","Adult")</f>
        <v>Young Adult</v>
      </c>
      <c r="K275" s="4">
        <v>23</v>
      </c>
      <c r="L275" s="4" t="s">
        <v>7</v>
      </c>
      <c r="M275" s="4">
        <v>2</v>
      </c>
      <c r="N275" s="5">
        <v>500</v>
      </c>
      <c r="O275">
        <f>(M275*N275)</f>
        <v>1000</v>
      </c>
      <c r="P275">
        <f>O275*$S$3</f>
        <v>15</v>
      </c>
      <c r="Q275">
        <f>O275*$S$4</f>
        <v>20</v>
      </c>
    </row>
    <row r="276" spans="1:17">
      <c r="A276" s="2">
        <v>275</v>
      </c>
      <c r="B276" s="4">
        <f>DAY(G276)</f>
        <v>8</v>
      </c>
      <c r="C276">
        <f>MONTH(G276)</f>
        <v>4</v>
      </c>
      <c r="D276">
        <f>YEAR(G276)</f>
        <v>2023</v>
      </c>
      <c r="E276" t="str">
        <f>TEXT(G276,"DDDD")</f>
        <v>Saturday</v>
      </c>
      <c r="F276" t="str">
        <f>TEXT(G276,"MMMM")</f>
        <v>April</v>
      </c>
      <c r="G276" s="3">
        <v>45024</v>
      </c>
      <c r="H276" s="4" t="s">
        <v>308</v>
      </c>
      <c r="I276" s="4" t="s">
        <v>4</v>
      </c>
      <c r="J276" s="4" t="str">
        <f>IF(K276&lt;30, "Young Adult","Adult")</f>
        <v>Adult</v>
      </c>
      <c r="K276" s="4">
        <v>43</v>
      </c>
      <c r="L276" s="4" t="s">
        <v>7</v>
      </c>
      <c r="M276" s="4">
        <v>2</v>
      </c>
      <c r="N276" s="5">
        <v>500</v>
      </c>
      <c r="O276">
        <f>(M276*N276)</f>
        <v>1000</v>
      </c>
      <c r="P276">
        <f>O276*$S$3</f>
        <v>15</v>
      </c>
      <c r="Q276">
        <f>O276*$S$4</f>
        <v>20</v>
      </c>
    </row>
    <row r="277" spans="1:17">
      <c r="A277" s="2">
        <v>276</v>
      </c>
      <c r="B277" s="4">
        <f>DAY(G277)</f>
        <v>2</v>
      </c>
      <c r="C277">
        <f>MONTH(G277)</f>
        <v>10</v>
      </c>
      <c r="D277">
        <f>YEAR(G277)</f>
        <v>2023</v>
      </c>
      <c r="E277" t="str">
        <f>TEXT(G277,"DDDD")</f>
        <v>Monday</v>
      </c>
      <c r="F277" t="str">
        <f>TEXT(G277,"MMMM")</f>
        <v>October</v>
      </c>
      <c r="G277" s="3">
        <v>45201</v>
      </c>
      <c r="H277" s="4" t="s">
        <v>309</v>
      </c>
      <c r="I277" s="4" t="s">
        <v>3</v>
      </c>
      <c r="J277" s="4" t="str">
        <f>IF(K277&lt;30, "Young Adult","Adult")</f>
        <v>Young Adult</v>
      </c>
      <c r="K277" s="4">
        <v>21</v>
      </c>
      <c r="L277" s="4" t="s">
        <v>6</v>
      </c>
      <c r="M277" s="4">
        <v>4</v>
      </c>
      <c r="N277" s="5">
        <v>25</v>
      </c>
      <c r="O277">
        <f>(M277*N277)</f>
        <v>100</v>
      </c>
      <c r="P277">
        <f>O277*$S$3</f>
        <v>1.5</v>
      </c>
      <c r="Q277">
        <f>O277*$S$4</f>
        <v>2</v>
      </c>
    </row>
    <row r="278" spans="1:17">
      <c r="A278" s="2">
        <v>277</v>
      </c>
      <c r="B278" s="4">
        <f>DAY(G278)</f>
        <v>18</v>
      </c>
      <c r="C278">
        <f>MONTH(G278)</f>
        <v>8</v>
      </c>
      <c r="D278">
        <f>YEAR(G278)</f>
        <v>2023</v>
      </c>
      <c r="E278" t="str">
        <f>TEXT(G278,"DDDD")</f>
        <v>Friday</v>
      </c>
      <c r="F278" t="str">
        <f>TEXT(G278,"MMMM")</f>
        <v>August</v>
      </c>
      <c r="G278" s="3">
        <v>45156</v>
      </c>
      <c r="H278" s="4" t="s">
        <v>310</v>
      </c>
      <c r="I278" s="4" t="s">
        <v>4</v>
      </c>
      <c r="J278" s="4" t="str">
        <f>IF(K278&lt;30, "Young Adult","Adult")</f>
        <v>Adult</v>
      </c>
      <c r="K278" s="4">
        <v>36</v>
      </c>
      <c r="L278" s="4" t="s">
        <v>7</v>
      </c>
      <c r="M278" s="4">
        <v>4</v>
      </c>
      <c r="N278" s="5">
        <v>25</v>
      </c>
      <c r="O278">
        <f>(M278*N278)</f>
        <v>100</v>
      </c>
      <c r="P278">
        <f>O278*$S$3</f>
        <v>1.5</v>
      </c>
      <c r="Q278">
        <f>O278*$S$4</f>
        <v>2</v>
      </c>
    </row>
    <row r="279" spans="1:17">
      <c r="A279" s="2">
        <v>278</v>
      </c>
      <c r="B279" s="4">
        <f>DAY(G279)</f>
        <v>13</v>
      </c>
      <c r="C279">
        <f>MONTH(G279)</f>
        <v>3</v>
      </c>
      <c r="D279">
        <f>YEAR(G279)</f>
        <v>2023</v>
      </c>
      <c r="E279" t="str">
        <f>TEXT(G279,"DDDD")</f>
        <v>Monday</v>
      </c>
      <c r="F279" t="str">
        <f>TEXT(G279,"MMMM")</f>
        <v>March</v>
      </c>
      <c r="G279" s="3">
        <v>44998</v>
      </c>
      <c r="H279" s="4" t="s">
        <v>311</v>
      </c>
      <c r="I279" s="4" t="s">
        <v>3</v>
      </c>
      <c r="J279" s="4" t="str">
        <f>IF(K279&lt;30, "Young Adult","Adult")</f>
        <v>Adult</v>
      </c>
      <c r="K279" s="4">
        <v>37</v>
      </c>
      <c r="L279" s="4" t="s">
        <v>7</v>
      </c>
      <c r="M279" s="4">
        <v>4</v>
      </c>
      <c r="N279" s="5">
        <v>25</v>
      </c>
      <c r="O279">
        <f>(M279*N279)</f>
        <v>100</v>
      </c>
      <c r="P279">
        <f>O279*$S$3</f>
        <v>1.5</v>
      </c>
      <c r="Q279">
        <f>O279*$S$4</f>
        <v>2</v>
      </c>
    </row>
    <row r="280" spans="1:17">
      <c r="A280" s="2">
        <v>279</v>
      </c>
      <c r="B280" s="4">
        <f>DAY(G280)</f>
        <v>5</v>
      </c>
      <c r="C280">
        <f>MONTH(G280)</f>
        <v>8</v>
      </c>
      <c r="D280">
        <f>YEAR(G280)</f>
        <v>2023</v>
      </c>
      <c r="E280" t="str">
        <f>TEXT(G280,"DDDD")</f>
        <v>Saturday</v>
      </c>
      <c r="F280" t="str">
        <f>TEXT(G280,"MMMM")</f>
        <v>August</v>
      </c>
      <c r="G280" s="3">
        <v>45143</v>
      </c>
      <c r="H280" s="4" t="s">
        <v>312</v>
      </c>
      <c r="I280" s="4" t="s">
        <v>4</v>
      </c>
      <c r="J280" s="4" t="str">
        <f>IF(K280&lt;30, "Young Adult","Adult")</f>
        <v>Adult</v>
      </c>
      <c r="K280" s="4">
        <v>50</v>
      </c>
      <c r="L280" s="4" t="s">
        <v>7</v>
      </c>
      <c r="M280" s="4">
        <v>1</v>
      </c>
      <c r="N280" s="5">
        <v>500</v>
      </c>
      <c r="O280">
        <f>(M280*N280)</f>
        <v>500</v>
      </c>
      <c r="P280">
        <f>O280*$S$3</f>
        <v>7.5</v>
      </c>
      <c r="Q280">
        <f>O280*$S$4</f>
        <v>10</v>
      </c>
    </row>
    <row r="281" spans="1:17">
      <c r="A281" s="2">
        <v>280</v>
      </c>
      <c r="B281" s="4">
        <f>DAY(G281)</f>
        <v>4</v>
      </c>
      <c r="C281">
        <f>MONTH(G281)</f>
        <v>4</v>
      </c>
      <c r="D281">
        <f>YEAR(G281)</f>
        <v>2023</v>
      </c>
      <c r="E281" t="str">
        <f>TEXT(G281,"DDDD")</f>
        <v>Tuesday</v>
      </c>
      <c r="F281" t="str">
        <f>TEXT(G281,"MMMM")</f>
        <v>April</v>
      </c>
      <c r="G281" s="3">
        <v>45020</v>
      </c>
      <c r="H281" s="4" t="s">
        <v>313</v>
      </c>
      <c r="I281" s="4" t="s">
        <v>3</v>
      </c>
      <c r="J281" s="4" t="str">
        <f>IF(K281&lt;30, "Young Adult","Adult")</f>
        <v>Adult</v>
      </c>
      <c r="K281" s="4">
        <v>37</v>
      </c>
      <c r="L281" s="4" t="s">
        <v>7</v>
      </c>
      <c r="M281" s="4">
        <v>3</v>
      </c>
      <c r="N281" s="5">
        <v>500</v>
      </c>
      <c r="O281">
        <f>(M281*N281)</f>
        <v>1500</v>
      </c>
      <c r="P281">
        <f>O281*$S$3</f>
        <v>22.5</v>
      </c>
      <c r="Q281">
        <f>O281*$S$4</f>
        <v>30</v>
      </c>
    </row>
    <row r="282" spans="1:17">
      <c r="A282" s="2">
        <v>281</v>
      </c>
      <c r="B282" s="4">
        <f>DAY(G282)</f>
        <v>23</v>
      </c>
      <c r="C282">
        <f>MONTH(G282)</f>
        <v>5</v>
      </c>
      <c r="D282">
        <f>YEAR(G282)</f>
        <v>2023</v>
      </c>
      <c r="E282" t="str">
        <f>TEXT(G282,"DDDD")</f>
        <v>Tuesday</v>
      </c>
      <c r="F282" t="str">
        <f>TEXT(G282,"MMMM")</f>
        <v>May</v>
      </c>
      <c r="G282" s="3">
        <v>45069</v>
      </c>
      <c r="H282" s="4" t="s">
        <v>314</v>
      </c>
      <c r="I282" s="4" t="s">
        <v>3</v>
      </c>
      <c r="J282" s="4" t="str">
        <f>IF(K282&lt;30, "Young Adult","Adult")</f>
        <v>Young Adult</v>
      </c>
      <c r="K282" s="4">
        <v>29</v>
      </c>
      <c r="L282" s="4" t="s">
        <v>6</v>
      </c>
      <c r="M282" s="4">
        <v>4</v>
      </c>
      <c r="N282" s="5">
        <v>500</v>
      </c>
      <c r="O282">
        <f>(M282*N282)</f>
        <v>2000</v>
      </c>
      <c r="P282">
        <f>O282*$S$3</f>
        <v>30</v>
      </c>
      <c r="Q282">
        <f>O282*$S$4</f>
        <v>40</v>
      </c>
    </row>
    <row r="283" spans="1:17">
      <c r="A283" s="2">
        <v>282</v>
      </c>
      <c r="B283" s="4">
        <f>DAY(G283)</f>
        <v>25</v>
      </c>
      <c r="C283">
        <f>MONTH(G283)</f>
        <v>8</v>
      </c>
      <c r="D283">
        <f>YEAR(G283)</f>
        <v>2023</v>
      </c>
      <c r="E283" t="str">
        <f>TEXT(G283,"DDDD")</f>
        <v>Friday</v>
      </c>
      <c r="F283" t="str">
        <f>TEXT(G283,"MMMM")</f>
        <v>August</v>
      </c>
      <c r="G283" s="3">
        <v>45163</v>
      </c>
      <c r="H283" s="4" t="s">
        <v>315</v>
      </c>
      <c r="I283" s="4" t="s">
        <v>3</v>
      </c>
      <c r="J283" s="4" t="str">
        <f>IF(K283&lt;30, "Young Adult","Adult")</f>
        <v>Adult</v>
      </c>
      <c r="K283" s="4">
        <v>64</v>
      </c>
      <c r="L283" s="4" t="s">
        <v>8</v>
      </c>
      <c r="M283" s="4">
        <v>4</v>
      </c>
      <c r="N283" s="5">
        <v>50</v>
      </c>
      <c r="O283">
        <f>(M283*N283)</f>
        <v>200</v>
      </c>
      <c r="P283">
        <f>O283*$S$3</f>
        <v>3</v>
      </c>
      <c r="Q283">
        <f>O283*$S$4</f>
        <v>4</v>
      </c>
    </row>
    <row r="284" spans="1:17">
      <c r="A284" s="2">
        <v>283</v>
      </c>
      <c r="B284" s="4">
        <f>DAY(G284)</f>
        <v>8</v>
      </c>
      <c r="C284">
        <f>MONTH(G284)</f>
        <v>5</v>
      </c>
      <c r="D284">
        <f>YEAR(G284)</f>
        <v>2023</v>
      </c>
      <c r="E284" t="str">
        <f>TEXT(G284,"DDDD")</f>
        <v>Monday</v>
      </c>
      <c r="F284" t="str">
        <f>TEXT(G284,"MMMM")</f>
        <v>May</v>
      </c>
      <c r="G284" s="3">
        <v>45054</v>
      </c>
      <c r="H284" s="4" t="s">
        <v>316</v>
      </c>
      <c r="I284" s="4" t="s">
        <v>3</v>
      </c>
      <c r="J284" s="4" t="str">
        <f>IF(K284&lt;30, "Young Adult","Adult")</f>
        <v>Young Adult</v>
      </c>
      <c r="K284" s="4">
        <v>18</v>
      </c>
      <c r="L284" s="4" t="s">
        <v>8</v>
      </c>
      <c r="M284" s="4">
        <v>1</v>
      </c>
      <c r="N284" s="5">
        <v>500</v>
      </c>
      <c r="O284">
        <f>(M284*N284)</f>
        <v>500</v>
      </c>
      <c r="P284">
        <f>O284*$S$3</f>
        <v>7.5</v>
      </c>
      <c r="Q284">
        <f>O284*$S$4</f>
        <v>10</v>
      </c>
    </row>
    <row r="285" spans="1:17">
      <c r="A285" s="2">
        <v>284</v>
      </c>
      <c r="B285" s="4">
        <f>DAY(G285)</f>
        <v>8</v>
      </c>
      <c r="C285">
        <f>MONTH(G285)</f>
        <v>2</v>
      </c>
      <c r="D285">
        <f>YEAR(G285)</f>
        <v>2023</v>
      </c>
      <c r="E285" t="str">
        <f>TEXT(G285,"DDDD")</f>
        <v>Wednesday</v>
      </c>
      <c r="F285" t="str">
        <f>TEXT(G285,"MMMM")</f>
        <v>February</v>
      </c>
      <c r="G285" s="3">
        <v>44965</v>
      </c>
      <c r="H285" s="4" t="s">
        <v>317</v>
      </c>
      <c r="I285" s="4" t="s">
        <v>4</v>
      </c>
      <c r="J285" s="4" t="str">
        <f>IF(K285&lt;30, "Young Adult","Adult")</f>
        <v>Adult</v>
      </c>
      <c r="K285" s="4">
        <v>43</v>
      </c>
      <c r="L285" s="4" t="s">
        <v>7</v>
      </c>
      <c r="M285" s="4">
        <v>4</v>
      </c>
      <c r="N285" s="5">
        <v>50</v>
      </c>
      <c r="O285">
        <f>(M285*N285)</f>
        <v>200</v>
      </c>
      <c r="P285">
        <f>O285*$S$3</f>
        <v>3</v>
      </c>
      <c r="Q285">
        <f>O285*$S$4</f>
        <v>4</v>
      </c>
    </row>
    <row r="286" spans="1:17">
      <c r="A286" s="2">
        <v>285</v>
      </c>
      <c r="B286" s="4">
        <f>DAY(G286)</f>
        <v>15</v>
      </c>
      <c r="C286">
        <f>MONTH(G286)</f>
        <v>8</v>
      </c>
      <c r="D286">
        <f>YEAR(G286)</f>
        <v>2023</v>
      </c>
      <c r="E286" t="str">
        <f>TEXT(G286,"DDDD")</f>
        <v>Tuesday</v>
      </c>
      <c r="F286" t="str">
        <f>TEXT(G286,"MMMM")</f>
        <v>August</v>
      </c>
      <c r="G286" s="3">
        <v>45153</v>
      </c>
      <c r="H286" s="4" t="s">
        <v>318</v>
      </c>
      <c r="I286" s="4" t="s">
        <v>3</v>
      </c>
      <c r="J286" s="4" t="str">
        <f>IF(K286&lt;30, "Young Adult","Adult")</f>
        <v>Adult</v>
      </c>
      <c r="K286" s="4">
        <v>31</v>
      </c>
      <c r="L286" s="4" t="s">
        <v>8</v>
      </c>
      <c r="M286" s="4">
        <v>1</v>
      </c>
      <c r="N286" s="5">
        <v>25</v>
      </c>
      <c r="O286">
        <f>(M286*N286)</f>
        <v>25</v>
      </c>
      <c r="P286">
        <f>O286*$S$3</f>
        <v>0.375</v>
      </c>
      <c r="Q286">
        <f>O286*$S$4</f>
        <v>0.5</v>
      </c>
    </row>
    <row r="287" spans="1:17">
      <c r="A287" s="2">
        <v>286</v>
      </c>
      <c r="B287" s="4">
        <f>DAY(G287)</f>
        <v>9</v>
      </c>
      <c r="C287">
        <f>MONTH(G287)</f>
        <v>10</v>
      </c>
      <c r="D287">
        <f>YEAR(G287)</f>
        <v>2023</v>
      </c>
      <c r="E287" t="str">
        <f>TEXT(G287,"DDDD")</f>
        <v>Monday</v>
      </c>
      <c r="F287" t="str">
        <f>TEXT(G287,"MMMM")</f>
        <v>October</v>
      </c>
      <c r="G287" s="3">
        <v>45208</v>
      </c>
      <c r="H287" s="4" t="s">
        <v>319</v>
      </c>
      <c r="I287" s="4" t="s">
        <v>4</v>
      </c>
      <c r="J287" s="4" t="str">
        <f>IF(K287&lt;30, "Young Adult","Adult")</f>
        <v>Adult</v>
      </c>
      <c r="K287" s="4">
        <v>55</v>
      </c>
      <c r="L287" s="4" t="s">
        <v>8</v>
      </c>
      <c r="M287" s="4">
        <v>2</v>
      </c>
      <c r="N287" s="5">
        <v>25</v>
      </c>
      <c r="O287">
        <f>(M287*N287)</f>
        <v>50</v>
      </c>
      <c r="P287">
        <f>O287*$S$3</f>
        <v>0.75</v>
      </c>
      <c r="Q287">
        <f>O287*$S$4</f>
        <v>1</v>
      </c>
    </row>
    <row r="288" spans="1:17">
      <c r="A288" s="2">
        <v>287</v>
      </c>
      <c r="B288" s="4">
        <f>DAY(G288)</f>
        <v>20</v>
      </c>
      <c r="C288">
        <f>MONTH(G288)</f>
        <v>2</v>
      </c>
      <c r="D288">
        <f>YEAR(G288)</f>
        <v>2023</v>
      </c>
      <c r="E288" t="str">
        <f>TEXT(G288,"DDDD")</f>
        <v>Monday</v>
      </c>
      <c r="F288" t="str">
        <f>TEXT(G288,"MMMM")</f>
        <v>February</v>
      </c>
      <c r="G288" s="3">
        <v>44977</v>
      </c>
      <c r="H288" s="4" t="s">
        <v>320</v>
      </c>
      <c r="I288" s="4" t="s">
        <v>4</v>
      </c>
      <c r="J288" s="4" t="str">
        <f>IF(K288&lt;30, "Young Adult","Adult")</f>
        <v>Adult</v>
      </c>
      <c r="K288" s="4">
        <v>54</v>
      </c>
      <c r="L288" s="4" t="s">
        <v>7</v>
      </c>
      <c r="M288" s="4">
        <v>4</v>
      </c>
      <c r="N288" s="5">
        <v>25</v>
      </c>
      <c r="O288">
        <f>(M288*N288)</f>
        <v>100</v>
      </c>
      <c r="P288">
        <f>O288*$S$3</f>
        <v>1.5</v>
      </c>
      <c r="Q288">
        <f>O288*$S$4</f>
        <v>2</v>
      </c>
    </row>
    <row r="289" spans="1:17">
      <c r="A289" s="2">
        <v>288</v>
      </c>
      <c r="B289" s="4">
        <f>DAY(G289)</f>
        <v>26</v>
      </c>
      <c r="C289">
        <f>MONTH(G289)</f>
        <v>1</v>
      </c>
      <c r="D289">
        <f>YEAR(G289)</f>
        <v>2023</v>
      </c>
      <c r="E289" t="str">
        <f>TEXT(G289,"DDDD")</f>
        <v>Thursday</v>
      </c>
      <c r="F289" t="str">
        <f>TEXT(G289,"MMMM")</f>
        <v>January</v>
      </c>
      <c r="G289" s="3">
        <v>44952</v>
      </c>
      <c r="H289" s="4" t="s">
        <v>321</v>
      </c>
      <c r="I289" s="4" t="s">
        <v>4</v>
      </c>
      <c r="J289" s="4" t="str">
        <f>IF(K289&lt;30, "Young Adult","Adult")</f>
        <v>Young Adult</v>
      </c>
      <c r="K289" s="4">
        <v>28</v>
      </c>
      <c r="L289" s="4" t="s">
        <v>7</v>
      </c>
      <c r="M289" s="4">
        <v>4</v>
      </c>
      <c r="N289" s="5">
        <v>30</v>
      </c>
      <c r="O289">
        <f>(M289*N289)</f>
        <v>120</v>
      </c>
      <c r="P289">
        <f>O289*$S$3</f>
        <v>1.7999999999999998</v>
      </c>
      <c r="Q289">
        <f>O289*$S$4</f>
        <v>2.4</v>
      </c>
    </row>
    <row r="290" spans="1:17">
      <c r="A290" s="2">
        <v>289</v>
      </c>
      <c r="B290" s="4">
        <f>DAY(G290)</f>
        <v>30</v>
      </c>
      <c r="C290">
        <f>MONTH(G290)</f>
        <v>11</v>
      </c>
      <c r="D290">
        <f>YEAR(G290)</f>
        <v>2023</v>
      </c>
      <c r="E290" t="str">
        <f>TEXT(G290,"DDDD")</f>
        <v>Thursday</v>
      </c>
      <c r="F290" t="str">
        <f>TEXT(G290,"MMMM")</f>
        <v>November</v>
      </c>
      <c r="G290" s="3">
        <v>45260</v>
      </c>
      <c r="H290" s="4" t="s">
        <v>322</v>
      </c>
      <c r="I290" s="4" t="s">
        <v>4</v>
      </c>
      <c r="J290" s="4" t="str">
        <f>IF(K290&lt;30, "Young Adult","Adult")</f>
        <v>Adult</v>
      </c>
      <c r="K290" s="4">
        <v>53</v>
      </c>
      <c r="L290" s="4" t="s">
        <v>8</v>
      </c>
      <c r="M290" s="4">
        <v>2</v>
      </c>
      <c r="N290" s="5">
        <v>30</v>
      </c>
      <c r="O290">
        <f>(M290*N290)</f>
        <v>60</v>
      </c>
      <c r="P290">
        <f>O290*$S$3</f>
        <v>0.89999999999999991</v>
      </c>
      <c r="Q290">
        <f>O290*$S$4</f>
        <v>1.2</v>
      </c>
    </row>
    <row r="291" spans="1:17">
      <c r="A291" s="2">
        <v>290</v>
      </c>
      <c r="B291" s="4">
        <f>DAY(G291)</f>
        <v>4</v>
      </c>
      <c r="C291">
        <f>MONTH(G291)</f>
        <v>10</v>
      </c>
      <c r="D291">
        <f>YEAR(G291)</f>
        <v>2023</v>
      </c>
      <c r="E291" t="str">
        <f>TEXT(G291,"DDDD")</f>
        <v>Wednesday</v>
      </c>
      <c r="F291" t="str">
        <f>TEXT(G291,"MMMM")</f>
        <v>October</v>
      </c>
      <c r="G291" s="3">
        <v>45203</v>
      </c>
      <c r="H291" s="4" t="s">
        <v>323</v>
      </c>
      <c r="I291" s="4" t="s">
        <v>3</v>
      </c>
      <c r="J291" s="4" t="str">
        <f>IF(K291&lt;30, "Young Adult","Adult")</f>
        <v>Adult</v>
      </c>
      <c r="K291" s="4">
        <v>30</v>
      </c>
      <c r="L291" s="4" t="s">
        <v>6</v>
      </c>
      <c r="M291" s="4">
        <v>2</v>
      </c>
      <c r="N291" s="5">
        <v>300</v>
      </c>
      <c r="O291">
        <f>(M291*N291)</f>
        <v>600</v>
      </c>
      <c r="P291">
        <f>O291*$S$3</f>
        <v>9</v>
      </c>
      <c r="Q291">
        <f>O291*$S$4</f>
        <v>12</v>
      </c>
    </row>
    <row r="292" spans="1:17">
      <c r="A292" s="2">
        <v>291</v>
      </c>
      <c r="B292" s="4">
        <f>DAY(G292)</f>
        <v>8</v>
      </c>
      <c r="C292">
        <f>MONTH(G292)</f>
        <v>1</v>
      </c>
      <c r="D292">
        <f>YEAR(G292)</f>
        <v>2023</v>
      </c>
      <c r="E292" t="str">
        <f>TEXT(G292,"DDDD")</f>
        <v>Sunday</v>
      </c>
      <c r="F292" t="str">
        <f>TEXT(G292,"MMMM")</f>
        <v>January</v>
      </c>
      <c r="G292" s="3">
        <v>44934</v>
      </c>
      <c r="H292" s="4" t="s">
        <v>324</v>
      </c>
      <c r="I292" s="4" t="s">
        <v>4</v>
      </c>
      <c r="J292" s="4" t="str">
        <f>IF(K292&lt;30, "Young Adult","Adult")</f>
        <v>Adult</v>
      </c>
      <c r="K292" s="4">
        <v>60</v>
      </c>
      <c r="L292" s="4" t="s">
        <v>7</v>
      </c>
      <c r="M292" s="4">
        <v>2</v>
      </c>
      <c r="N292" s="5">
        <v>300</v>
      </c>
      <c r="O292">
        <f>(M292*N292)</f>
        <v>600</v>
      </c>
      <c r="P292">
        <f>O292*$S$3</f>
        <v>9</v>
      </c>
      <c r="Q292">
        <f>O292*$S$4</f>
        <v>12</v>
      </c>
    </row>
    <row r="293" spans="1:17">
      <c r="A293" s="2">
        <v>292</v>
      </c>
      <c r="B293" s="4">
        <f>DAY(G293)</f>
        <v>17</v>
      </c>
      <c r="C293">
        <f>MONTH(G293)</f>
        <v>2</v>
      </c>
      <c r="D293">
        <f>YEAR(G293)</f>
        <v>2023</v>
      </c>
      <c r="E293" t="str">
        <f>TEXT(G293,"DDDD")</f>
        <v>Friday</v>
      </c>
      <c r="F293" t="str">
        <f>TEXT(G293,"MMMM")</f>
        <v>February</v>
      </c>
      <c r="G293" s="3">
        <v>44974</v>
      </c>
      <c r="H293" s="4" t="s">
        <v>325</v>
      </c>
      <c r="I293" s="4" t="s">
        <v>4</v>
      </c>
      <c r="J293" s="4" t="str">
        <f>IF(K293&lt;30, "Young Adult","Adult")</f>
        <v>Young Adult</v>
      </c>
      <c r="K293" s="4">
        <v>20</v>
      </c>
      <c r="L293" s="4" t="s">
        <v>6</v>
      </c>
      <c r="M293" s="4">
        <v>4</v>
      </c>
      <c r="N293" s="5">
        <v>300</v>
      </c>
      <c r="O293">
        <f>(M293*N293)</f>
        <v>1200</v>
      </c>
      <c r="P293">
        <f>O293*$S$3</f>
        <v>18</v>
      </c>
      <c r="Q293">
        <f>O293*$S$4</f>
        <v>24</v>
      </c>
    </row>
    <row r="294" spans="1:17">
      <c r="A294" s="2">
        <v>293</v>
      </c>
      <c r="B294" s="4">
        <f>DAY(G294)</f>
        <v>2</v>
      </c>
      <c r="C294">
        <f>MONTH(G294)</f>
        <v>5</v>
      </c>
      <c r="D294">
        <f>YEAR(G294)</f>
        <v>2023</v>
      </c>
      <c r="E294" t="str">
        <f>TEXT(G294,"DDDD")</f>
        <v>Tuesday</v>
      </c>
      <c r="F294" t="str">
        <f>TEXT(G294,"MMMM")</f>
        <v>May</v>
      </c>
      <c r="G294" s="3">
        <v>45048</v>
      </c>
      <c r="H294" s="4" t="s">
        <v>326</v>
      </c>
      <c r="I294" s="4" t="s">
        <v>4</v>
      </c>
      <c r="J294" s="4" t="str">
        <f>IF(K294&lt;30, "Young Adult","Adult")</f>
        <v>Adult</v>
      </c>
      <c r="K294" s="4">
        <v>50</v>
      </c>
      <c r="L294" s="4" t="s">
        <v>8</v>
      </c>
      <c r="M294" s="4">
        <v>3</v>
      </c>
      <c r="N294" s="5">
        <v>30</v>
      </c>
      <c r="O294">
        <f>(M294*N294)</f>
        <v>90</v>
      </c>
      <c r="P294">
        <f>O294*$S$3</f>
        <v>1.3499999999999999</v>
      </c>
      <c r="Q294">
        <f>O294*$S$4</f>
        <v>1.8</v>
      </c>
    </row>
    <row r="295" spans="1:17">
      <c r="A295" s="2">
        <v>294</v>
      </c>
      <c r="B295" s="4">
        <f>DAY(G295)</f>
        <v>27</v>
      </c>
      <c r="C295">
        <f>MONTH(G295)</f>
        <v>3</v>
      </c>
      <c r="D295">
        <f>YEAR(G295)</f>
        <v>2023</v>
      </c>
      <c r="E295" t="str">
        <f>TEXT(G295,"DDDD")</f>
        <v>Monday</v>
      </c>
      <c r="F295" t="str">
        <f>TEXT(G295,"MMMM")</f>
        <v>March</v>
      </c>
      <c r="G295" s="3">
        <v>45012</v>
      </c>
      <c r="H295" s="4" t="s">
        <v>327</v>
      </c>
      <c r="I295" s="4" t="s">
        <v>3</v>
      </c>
      <c r="J295" s="4" t="str">
        <f>IF(K295&lt;30, "Young Adult","Adult")</f>
        <v>Young Adult</v>
      </c>
      <c r="K295" s="4">
        <v>23</v>
      </c>
      <c r="L295" s="4" t="s">
        <v>7</v>
      </c>
      <c r="M295" s="4">
        <v>3</v>
      </c>
      <c r="N295" s="5">
        <v>30</v>
      </c>
      <c r="O295">
        <f>(M295*N295)</f>
        <v>90</v>
      </c>
      <c r="P295">
        <f>O295*$S$3</f>
        <v>1.3499999999999999</v>
      </c>
      <c r="Q295">
        <f>O295*$S$4</f>
        <v>1.8</v>
      </c>
    </row>
    <row r="296" spans="1:17">
      <c r="A296" s="2">
        <v>295</v>
      </c>
      <c r="B296" s="4">
        <f>DAY(G296)</f>
        <v>28</v>
      </c>
      <c r="C296">
        <f>MONTH(G296)</f>
        <v>7</v>
      </c>
      <c r="D296">
        <f>YEAR(G296)</f>
        <v>2023</v>
      </c>
      <c r="E296" t="str">
        <f>TEXT(G296,"DDDD")</f>
        <v>Friday</v>
      </c>
      <c r="F296" t="str">
        <f>TEXT(G296,"MMMM")</f>
        <v>July</v>
      </c>
      <c r="G296" s="3">
        <v>45135</v>
      </c>
      <c r="H296" s="4" t="s">
        <v>328</v>
      </c>
      <c r="I296" s="4" t="s">
        <v>3</v>
      </c>
      <c r="J296" s="4" t="str">
        <f>IF(K296&lt;30, "Young Adult","Adult")</f>
        <v>Young Adult</v>
      </c>
      <c r="K296" s="4">
        <v>27</v>
      </c>
      <c r="L296" s="4" t="s">
        <v>6</v>
      </c>
      <c r="M296" s="4">
        <v>3</v>
      </c>
      <c r="N296" s="5">
        <v>300</v>
      </c>
      <c r="O296">
        <f>(M296*N296)</f>
        <v>900</v>
      </c>
      <c r="P296">
        <f>O296*$S$3</f>
        <v>13.5</v>
      </c>
      <c r="Q296">
        <f>O296*$S$4</f>
        <v>18</v>
      </c>
    </row>
    <row r="297" spans="1:17">
      <c r="A297" s="2">
        <v>296</v>
      </c>
      <c r="B297" s="4">
        <f>DAY(G297)</f>
        <v>6</v>
      </c>
      <c r="C297">
        <f>MONTH(G297)</f>
        <v>9</v>
      </c>
      <c r="D297">
        <f>YEAR(G297)</f>
        <v>2023</v>
      </c>
      <c r="E297" t="str">
        <f>TEXT(G297,"DDDD")</f>
        <v>Wednesday</v>
      </c>
      <c r="F297" t="str">
        <f>TEXT(G297,"MMMM")</f>
        <v>September</v>
      </c>
      <c r="G297" s="3">
        <v>45175</v>
      </c>
      <c r="H297" s="4" t="s">
        <v>329</v>
      </c>
      <c r="I297" s="4" t="s">
        <v>3</v>
      </c>
      <c r="J297" s="4" t="str">
        <f>IF(K297&lt;30, "Young Adult","Adult")</f>
        <v>Young Adult</v>
      </c>
      <c r="K297" s="4">
        <v>22</v>
      </c>
      <c r="L297" s="4" t="s">
        <v>7</v>
      </c>
      <c r="M297" s="4">
        <v>4</v>
      </c>
      <c r="N297" s="5">
        <v>300</v>
      </c>
      <c r="O297">
        <f>(M297*N297)</f>
        <v>1200</v>
      </c>
      <c r="P297">
        <f>O297*$S$3</f>
        <v>18</v>
      </c>
      <c r="Q297">
        <f>O297*$S$4</f>
        <v>24</v>
      </c>
    </row>
    <row r="298" spans="1:17">
      <c r="A298" s="2">
        <v>297</v>
      </c>
      <c r="B298" s="4">
        <f>DAY(G298)</f>
        <v>4</v>
      </c>
      <c r="C298">
        <f>MONTH(G298)</f>
        <v>9</v>
      </c>
      <c r="D298">
        <f>YEAR(G298)</f>
        <v>2023</v>
      </c>
      <c r="E298" t="str">
        <f>TEXT(G298,"DDDD")</f>
        <v>Monday</v>
      </c>
      <c r="F298" t="str">
        <f>TEXT(G298,"MMMM")</f>
        <v>September</v>
      </c>
      <c r="G298" s="3">
        <v>45173</v>
      </c>
      <c r="H298" s="4" t="s">
        <v>330</v>
      </c>
      <c r="I298" s="4" t="s">
        <v>3</v>
      </c>
      <c r="J298" s="4" t="str">
        <f>IF(K298&lt;30, "Young Adult","Adult")</f>
        <v>Adult</v>
      </c>
      <c r="K298" s="4">
        <v>40</v>
      </c>
      <c r="L298" s="4" t="s">
        <v>8</v>
      </c>
      <c r="M298" s="4">
        <v>2</v>
      </c>
      <c r="N298" s="5">
        <v>500</v>
      </c>
      <c r="O298">
        <f>(M298*N298)</f>
        <v>1000</v>
      </c>
      <c r="P298">
        <f>O298*$S$3</f>
        <v>15</v>
      </c>
      <c r="Q298">
        <f>O298*$S$4</f>
        <v>20</v>
      </c>
    </row>
    <row r="299" spans="1:17">
      <c r="A299" s="2">
        <v>298</v>
      </c>
      <c r="B299" s="4">
        <f>DAY(G299)</f>
        <v>20</v>
      </c>
      <c r="C299">
        <f>MONTH(G299)</f>
        <v>4</v>
      </c>
      <c r="D299">
        <f>YEAR(G299)</f>
        <v>2023</v>
      </c>
      <c r="E299" t="str">
        <f>TEXT(G299,"DDDD")</f>
        <v>Thursday</v>
      </c>
      <c r="F299" t="str">
        <f>TEXT(G299,"MMMM")</f>
        <v>April</v>
      </c>
      <c r="G299" s="3">
        <v>45036</v>
      </c>
      <c r="H299" s="4" t="s">
        <v>331</v>
      </c>
      <c r="I299" s="4" t="s">
        <v>4</v>
      </c>
      <c r="J299" s="4" t="str">
        <f>IF(K299&lt;30, "Young Adult","Adult")</f>
        <v>Young Adult</v>
      </c>
      <c r="K299" s="4">
        <v>27</v>
      </c>
      <c r="L299" s="4" t="s">
        <v>6</v>
      </c>
      <c r="M299" s="4">
        <v>4</v>
      </c>
      <c r="N299" s="5">
        <v>300</v>
      </c>
      <c r="O299">
        <f>(M299*N299)</f>
        <v>1200</v>
      </c>
      <c r="P299">
        <f>O299*$S$3</f>
        <v>18</v>
      </c>
      <c r="Q299">
        <f>O299*$S$4</f>
        <v>24</v>
      </c>
    </row>
    <row r="300" spans="1:17">
      <c r="A300" s="2">
        <v>299</v>
      </c>
      <c r="B300" s="4">
        <f>DAY(G300)</f>
        <v>25</v>
      </c>
      <c r="C300">
        <f>MONTH(G300)</f>
        <v>7</v>
      </c>
      <c r="D300">
        <f>YEAR(G300)</f>
        <v>2023</v>
      </c>
      <c r="E300" t="str">
        <f>TEXT(G300,"DDDD")</f>
        <v>Tuesday</v>
      </c>
      <c r="F300" t="str">
        <f>TEXT(G300,"MMMM")</f>
        <v>July</v>
      </c>
      <c r="G300" s="3">
        <v>45132</v>
      </c>
      <c r="H300" s="4" t="s">
        <v>332</v>
      </c>
      <c r="I300" s="4" t="s">
        <v>4</v>
      </c>
      <c r="J300" s="4" t="str">
        <f>IF(K300&lt;30, "Young Adult","Adult")</f>
        <v>Adult</v>
      </c>
      <c r="K300" s="4">
        <v>61</v>
      </c>
      <c r="L300" s="4" t="s">
        <v>8</v>
      </c>
      <c r="M300" s="4">
        <v>2</v>
      </c>
      <c r="N300" s="5">
        <v>500</v>
      </c>
      <c r="O300">
        <f>(M300*N300)</f>
        <v>1000</v>
      </c>
      <c r="P300">
        <f>O300*$S$3</f>
        <v>15</v>
      </c>
      <c r="Q300">
        <f>O300*$S$4</f>
        <v>20</v>
      </c>
    </row>
    <row r="301" spans="1:17">
      <c r="A301" s="2">
        <v>300</v>
      </c>
      <c r="B301" s="4">
        <f>DAY(G301)</f>
        <v>31</v>
      </c>
      <c r="C301">
        <f>MONTH(G301)</f>
        <v>1</v>
      </c>
      <c r="D301">
        <f>YEAR(G301)</f>
        <v>2023</v>
      </c>
      <c r="E301" t="str">
        <f>TEXT(G301,"DDDD")</f>
        <v>Tuesday</v>
      </c>
      <c r="F301" t="str">
        <f>TEXT(G301,"MMMM")</f>
        <v>January</v>
      </c>
      <c r="G301" s="3">
        <v>44957</v>
      </c>
      <c r="H301" s="4" t="s">
        <v>333</v>
      </c>
      <c r="I301" s="4" t="s">
        <v>3</v>
      </c>
      <c r="J301" s="4" t="str">
        <f>IF(K301&lt;30, "Young Adult","Adult")</f>
        <v>Young Adult</v>
      </c>
      <c r="K301" s="4">
        <v>19</v>
      </c>
      <c r="L301" s="4" t="s">
        <v>8</v>
      </c>
      <c r="M301" s="4">
        <v>4</v>
      </c>
      <c r="N301" s="5">
        <v>50</v>
      </c>
      <c r="O301">
        <f>(M301*N301)</f>
        <v>200</v>
      </c>
      <c r="P301">
        <f>O301*$S$3</f>
        <v>3</v>
      </c>
      <c r="Q301">
        <f>O301*$S$4</f>
        <v>4</v>
      </c>
    </row>
    <row r="302" spans="1:17">
      <c r="A302" s="2">
        <v>301</v>
      </c>
      <c r="B302" s="4">
        <f>DAY(G302)</f>
        <v>26</v>
      </c>
      <c r="C302">
        <f>MONTH(G302)</f>
        <v>3</v>
      </c>
      <c r="D302">
        <f>YEAR(G302)</f>
        <v>2023</v>
      </c>
      <c r="E302" t="str">
        <f>TEXT(G302,"DDDD")</f>
        <v>Sunday</v>
      </c>
      <c r="F302" t="str">
        <f>TEXT(G302,"MMMM")</f>
        <v>March</v>
      </c>
      <c r="G302" s="3">
        <v>45011</v>
      </c>
      <c r="H302" s="4" t="s">
        <v>334</v>
      </c>
      <c r="I302" s="4" t="s">
        <v>4</v>
      </c>
      <c r="J302" s="4" t="str">
        <f>IF(K302&lt;30, "Young Adult","Adult")</f>
        <v>Adult</v>
      </c>
      <c r="K302" s="4">
        <v>30</v>
      </c>
      <c r="L302" s="4" t="s">
        <v>7</v>
      </c>
      <c r="M302" s="4">
        <v>4</v>
      </c>
      <c r="N302" s="5">
        <v>30</v>
      </c>
      <c r="O302">
        <f>(M302*N302)</f>
        <v>120</v>
      </c>
      <c r="P302">
        <f>O302*$S$3</f>
        <v>1.7999999999999998</v>
      </c>
      <c r="Q302">
        <f>O302*$S$4</f>
        <v>2.4</v>
      </c>
    </row>
    <row r="303" spans="1:17">
      <c r="A303" s="2">
        <v>302</v>
      </c>
      <c r="B303" s="4">
        <f>DAY(G303)</f>
        <v>14</v>
      </c>
      <c r="C303">
        <f>MONTH(G303)</f>
        <v>7</v>
      </c>
      <c r="D303">
        <f>YEAR(G303)</f>
        <v>2023</v>
      </c>
      <c r="E303" t="str">
        <f>TEXT(G303,"DDDD")</f>
        <v>Friday</v>
      </c>
      <c r="F303" t="str">
        <f>TEXT(G303,"MMMM")</f>
        <v>July</v>
      </c>
      <c r="G303" s="3">
        <v>45121</v>
      </c>
      <c r="H303" s="4" t="s">
        <v>335</v>
      </c>
      <c r="I303" s="4" t="s">
        <v>4</v>
      </c>
      <c r="J303" s="4" t="str">
        <f>IF(K303&lt;30, "Young Adult","Adult")</f>
        <v>Adult</v>
      </c>
      <c r="K303" s="4">
        <v>57</v>
      </c>
      <c r="L303" s="4" t="s">
        <v>6</v>
      </c>
      <c r="M303" s="4">
        <v>2</v>
      </c>
      <c r="N303" s="5">
        <v>300</v>
      </c>
      <c r="O303">
        <f>(M303*N303)</f>
        <v>600</v>
      </c>
      <c r="P303">
        <f>O303*$S$3</f>
        <v>9</v>
      </c>
      <c r="Q303">
        <f>O303*$S$4</f>
        <v>12</v>
      </c>
    </row>
    <row r="304" spans="1:17">
      <c r="A304" s="2">
        <v>303</v>
      </c>
      <c r="B304" s="4">
        <f>DAY(G304)</f>
        <v>2</v>
      </c>
      <c r="C304">
        <f>MONTH(G304)</f>
        <v>1</v>
      </c>
      <c r="D304">
        <f>YEAR(G304)</f>
        <v>2023</v>
      </c>
      <c r="E304" t="str">
        <f>TEXT(G304,"DDDD")</f>
        <v>Monday</v>
      </c>
      <c r="F304" t="str">
        <f>TEXT(G304,"MMMM")</f>
        <v>January</v>
      </c>
      <c r="G304" s="3">
        <v>44928</v>
      </c>
      <c r="H304" s="4" t="s">
        <v>336</v>
      </c>
      <c r="I304" s="4" t="s">
        <v>4</v>
      </c>
      <c r="J304" s="4" t="str">
        <f>IF(K304&lt;30, "Young Adult","Adult")</f>
        <v>Young Adult</v>
      </c>
      <c r="K304" s="4">
        <v>19</v>
      </c>
      <c r="L304" s="4" t="s">
        <v>8</v>
      </c>
      <c r="M304" s="4">
        <v>3</v>
      </c>
      <c r="N304" s="5">
        <v>30</v>
      </c>
      <c r="O304">
        <f>(M304*N304)</f>
        <v>90</v>
      </c>
      <c r="P304">
        <f>O304*$S$3</f>
        <v>1.3499999999999999</v>
      </c>
      <c r="Q304">
        <f>O304*$S$4</f>
        <v>1.8</v>
      </c>
    </row>
    <row r="305" spans="1:17">
      <c r="A305" s="2">
        <v>304</v>
      </c>
      <c r="B305" s="4">
        <f>DAY(G305)</f>
        <v>19</v>
      </c>
      <c r="C305">
        <f>MONTH(G305)</f>
        <v>7</v>
      </c>
      <c r="D305">
        <f>YEAR(G305)</f>
        <v>2023</v>
      </c>
      <c r="E305" t="str">
        <f>TEXT(G305,"DDDD")</f>
        <v>Wednesday</v>
      </c>
      <c r="F305" t="str">
        <f>TEXT(G305,"MMMM")</f>
        <v>July</v>
      </c>
      <c r="G305" s="3">
        <v>45126</v>
      </c>
      <c r="H305" s="4" t="s">
        <v>337</v>
      </c>
      <c r="I305" s="4" t="s">
        <v>3</v>
      </c>
      <c r="J305" s="4" t="str">
        <f>IF(K305&lt;30, "Young Adult","Adult")</f>
        <v>Adult</v>
      </c>
      <c r="K305" s="4">
        <v>37</v>
      </c>
      <c r="L305" s="4" t="s">
        <v>8</v>
      </c>
      <c r="M305" s="4">
        <v>2</v>
      </c>
      <c r="N305" s="5">
        <v>30</v>
      </c>
      <c r="O305">
        <f>(M305*N305)</f>
        <v>60</v>
      </c>
      <c r="P305">
        <f>O305*$S$3</f>
        <v>0.89999999999999991</v>
      </c>
      <c r="Q305">
        <f>O305*$S$4</f>
        <v>1.2</v>
      </c>
    </row>
    <row r="306" spans="1:17">
      <c r="A306" s="2">
        <v>305</v>
      </c>
      <c r="B306" s="4">
        <f>DAY(G306)</f>
        <v>16</v>
      </c>
      <c r="C306">
        <f>MONTH(G306)</f>
        <v>5</v>
      </c>
      <c r="D306">
        <f>YEAR(G306)</f>
        <v>2023</v>
      </c>
      <c r="E306" t="str">
        <f>TEXT(G306,"DDDD")</f>
        <v>Tuesday</v>
      </c>
      <c r="F306" t="str">
        <f>TEXT(G306,"MMMM")</f>
        <v>May</v>
      </c>
      <c r="G306" s="3">
        <v>45062</v>
      </c>
      <c r="H306" s="4" t="s">
        <v>338</v>
      </c>
      <c r="I306" s="4" t="s">
        <v>3</v>
      </c>
      <c r="J306" s="4" t="str">
        <f>IF(K306&lt;30, "Young Adult","Adult")</f>
        <v>Young Adult</v>
      </c>
      <c r="K306" s="4">
        <v>18</v>
      </c>
      <c r="L306" s="4" t="s">
        <v>6</v>
      </c>
      <c r="M306" s="4">
        <v>1</v>
      </c>
      <c r="N306" s="5">
        <v>30</v>
      </c>
      <c r="O306">
        <f>(M306*N306)</f>
        <v>30</v>
      </c>
      <c r="P306">
        <f>O306*$S$3</f>
        <v>0.44999999999999996</v>
      </c>
      <c r="Q306">
        <f>O306*$S$4</f>
        <v>0.6</v>
      </c>
    </row>
    <row r="307" spans="1:17">
      <c r="A307" s="2">
        <v>306</v>
      </c>
      <c r="B307" s="4">
        <f>DAY(G307)</f>
        <v>21</v>
      </c>
      <c r="C307">
        <f>MONTH(G307)</f>
        <v>8</v>
      </c>
      <c r="D307">
        <f>YEAR(G307)</f>
        <v>2023</v>
      </c>
      <c r="E307" t="str">
        <f>TEXT(G307,"DDDD")</f>
        <v>Monday</v>
      </c>
      <c r="F307" t="str">
        <f>TEXT(G307,"MMMM")</f>
        <v>August</v>
      </c>
      <c r="G307" s="3">
        <v>45159</v>
      </c>
      <c r="H307" s="4" t="s">
        <v>339</v>
      </c>
      <c r="I307" s="4" t="s">
        <v>4</v>
      </c>
      <c r="J307" s="4" t="str">
        <f>IF(K307&lt;30, "Young Adult","Adult")</f>
        <v>Adult</v>
      </c>
      <c r="K307" s="4">
        <v>54</v>
      </c>
      <c r="L307" s="4" t="s">
        <v>8</v>
      </c>
      <c r="M307" s="4">
        <v>1</v>
      </c>
      <c r="N307" s="5">
        <v>50</v>
      </c>
      <c r="O307">
        <f>(M307*N307)</f>
        <v>50</v>
      </c>
      <c r="P307">
        <f>O307*$S$3</f>
        <v>0.75</v>
      </c>
      <c r="Q307">
        <f>O307*$S$4</f>
        <v>1</v>
      </c>
    </row>
    <row r="308" spans="1:17">
      <c r="A308" s="2">
        <v>307</v>
      </c>
      <c r="B308" s="4">
        <f>DAY(G308)</f>
        <v>27</v>
      </c>
      <c r="C308">
        <f>MONTH(G308)</f>
        <v>5</v>
      </c>
      <c r="D308">
        <f>YEAR(G308)</f>
        <v>2023</v>
      </c>
      <c r="E308" t="str">
        <f>TEXT(G308,"DDDD")</f>
        <v>Saturday</v>
      </c>
      <c r="F308" t="str">
        <f>TEXT(G308,"MMMM")</f>
        <v>May</v>
      </c>
      <c r="G308" s="3">
        <v>45073</v>
      </c>
      <c r="H308" s="4" t="s">
        <v>340</v>
      </c>
      <c r="I308" s="4" t="s">
        <v>3</v>
      </c>
      <c r="J308" s="4" t="str">
        <f>IF(K308&lt;30, "Young Adult","Adult")</f>
        <v>Young Adult</v>
      </c>
      <c r="K308" s="4">
        <v>26</v>
      </c>
      <c r="L308" s="4" t="s">
        <v>8</v>
      </c>
      <c r="M308" s="4">
        <v>2</v>
      </c>
      <c r="N308" s="5">
        <v>25</v>
      </c>
      <c r="O308">
        <f>(M308*N308)</f>
        <v>50</v>
      </c>
      <c r="P308">
        <f>O308*$S$3</f>
        <v>0.75</v>
      </c>
      <c r="Q308">
        <f>O308*$S$4</f>
        <v>1</v>
      </c>
    </row>
    <row r="309" spans="1:17">
      <c r="A309" s="2">
        <v>308</v>
      </c>
      <c r="B309" s="4">
        <f>DAY(G309)</f>
        <v>5</v>
      </c>
      <c r="C309">
        <f>MONTH(G309)</f>
        <v>8</v>
      </c>
      <c r="D309">
        <f>YEAR(G309)</f>
        <v>2023</v>
      </c>
      <c r="E309" t="str">
        <f>TEXT(G309,"DDDD")</f>
        <v>Saturday</v>
      </c>
      <c r="F309" t="str">
        <f>TEXT(G309,"MMMM")</f>
        <v>August</v>
      </c>
      <c r="G309" s="3">
        <v>45143</v>
      </c>
      <c r="H309" s="4" t="s">
        <v>341</v>
      </c>
      <c r="I309" s="4" t="s">
        <v>3</v>
      </c>
      <c r="J309" s="4" t="str">
        <f>IF(K309&lt;30, "Young Adult","Adult")</f>
        <v>Adult</v>
      </c>
      <c r="K309" s="4">
        <v>34</v>
      </c>
      <c r="L309" s="4" t="s">
        <v>6</v>
      </c>
      <c r="M309" s="4">
        <v>4</v>
      </c>
      <c r="N309" s="5">
        <v>300</v>
      </c>
      <c r="O309">
        <f>(M309*N309)</f>
        <v>1200</v>
      </c>
      <c r="P309">
        <f>O309*$S$3</f>
        <v>18</v>
      </c>
      <c r="Q309">
        <f>O309*$S$4</f>
        <v>24</v>
      </c>
    </row>
    <row r="310" spans="1:17">
      <c r="A310" s="2">
        <v>309</v>
      </c>
      <c r="B310" s="4">
        <f>DAY(G310)</f>
        <v>23</v>
      </c>
      <c r="C310">
        <f>MONTH(G310)</f>
        <v>12</v>
      </c>
      <c r="D310">
        <f>YEAR(G310)</f>
        <v>2023</v>
      </c>
      <c r="E310" t="str">
        <f>TEXT(G310,"DDDD")</f>
        <v>Saturday</v>
      </c>
      <c r="F310" t="str">
        <f>TEXT(G310,"MMMM")</f>
        <v>December</v>
      </c>
      <c r="G310" s="3">
        <v>45283</v>
      </c>
      <c r="H310" s="4" t="s">
        <v>342</v>
      </c>
      <c r="I310" s="4" t="s">
        <v>3</v>
      </c>
      <c r="J310" s="4" t="str">
        <f>IF(K310&lt;30, "Young Adult","Adult")</f>
        <v>Young Adult</v>
      </c>
      <c r="K310" s="4">
        <v>26</v>
      </c>
      <c r="L310" s="4" t="s">
        <v>6</v>
      </c>
      <c r="M310" s="4">
        <v>1</v>
      </c>
      <c r="N310" s="5">
        <v>25</v>
      </c>
      <c r="O310">
        <f>(M310*N310)</f>
        <v>25</v>
      </c>
      <c r="P310">
        <f>O310*$S$3</f>
        <v>0.375</v>
      </c>
      <c r="Q310">
        <f>O310*$S$4</f>
        <v>0.5</v>
      </c>
    </row>
    <row r="311" spans="1:17">
      <c r="A311" s="2">
        <v>310</v>
      </c>
      <c r="B311" s="4">
        <f>DAY(G311)</f>
        <v>12</v>
      </c>
      <c r="C311">
        <f>MONTH(G311)</f>
        <v>10</v>
      </c>
      <c r="D311">
        <f>YEAR(G311)</f>
        <v>2023</v>
      </c>
      <c r="E311" t="str">
        <f>TEXT(G311,"DDDD")</f>
        <v>Thursday</v>
      </c>
      <c r="F311" t="str">
        <f>TEXT(G311,"MMMM")</f>
        <v>October</v>
      </c>
      <c r="G311" s="3">
        <v>45211</v>
      </c>
      <c r="H311" s="4" t="s">
        <v>343</v>
      </c>
      <c r="I311" s="4" t="s">
        <v>3</v>
      </c>
      <c r="J311" s="4" t="str">
        <f>IF(K311&lt;30, "Young Adult","Adult")</f>
        <v>Young Adult</v>
      </c>
      <c r="K311" s="4">
        <v>28</v>
      </c>
      <c r="L311" s="4" t="s">
        <v>6</v>
      </c>
      <c r="M311" s="4">
        <v>1</v>
      </c>
      <c r="N311" s="5">
        <v>25</v>
      </c>
      <c r="O311">
        <f>(M311*N311)</f>
        <v>25</v>
      </c>
      <c r="P311">
        <f>O311*$S$3</f>
        <v>0.375</v>
      </c>
      <c r="Q311">
        <f>O311*$S$4</f>
        <v>0.5</v>
      </c>
    </row>
    <row r="312" spans="1:17">
      <c r="A312" s="2">
        <v>311</v>
      </c>
      <c r="B312" s="4">
        <f>DAY(G312)</f>
        <v>5</v>
      </c>
      <c r="C312">
        <f>MONTH(G312)</f>
        <v>12</v>
      </c>
      <c r="D312">
        <f>YEAR(G312)</f>
        <v>2023</v>
      </c>
      <c r="E312" t="str">
        <f>TEXT(G312,"DDDD")</f>
        <v>Tuesday</v>
      </c>
      <c r="F312" t="str">
        <f>TEXT(G312,"MMMM")</f>
        <v>December</v>
      </c>
      <c r="G312" s="3">
        <v>45265</v>
      </c>
      <c r="H312" s="4" t="s">
        <v>344</v>
      </c>
      <c r="I312" s="4" t="s">
        <v>3</v>
      </c>
      <c r="J312" s="4" t="str">
        <f>IF(K312&lt;30, "Young Adult","Adult")</f>
        <v>Adult</v>
      </c>
      <c r="K312" s="4">
        <v>32</v>
      </c>
      <c r="L312" s="4" t="s">
        <v>6</v>
      </c>
      <c r="M312" s="4">
        <v>4</v>
      </c>
      <c r="N312" s="5">
        <v>25</v>
      </c>
      <c r="O312">
        <f>(M312*N312)</f>
        <v>100</v>
      </c>
      <c r="P312">
        <f>O312*$S$3</f>
        <v>1.5</v>
      </c>
      <c r="Q312">
        <f>O312*$S$4</f>
        <v>2</v>
      </c>
    </row>
    <row r="313" spans="1:17">
      <c r="A313" s="2">
        <v>312</v>
      </c>
      <c r="B313" s="4">
        <f>DAY(G313)</f>
        <v>7</v>
      </c>
      <c r="C313">
        <f>MONTH(G313)</f>
        <v>9</v>
      </c>
      <c r="D313">
        <f>YEAR(G313)</f>
        <v>2023</v>
      </c>
      <c r="E313" t="str">
        <f>TEXT(G313,"DDDD")</f>
        <v>Thursday</v>
      </c>
      <c r="F313" t="str">
        <f>TEXT(G313,"MMMM")</f>
        <v>September</v>
      </c>
      <c r="G313" s="3">
        <v>45176</v>
      </c>
      <c r="H313" s="4" t="s">
        <v>345</v>
      </c>
      <c r="I313" s="4" t="s">
        <v>4</v>
      </c>
      <c r="J313" s="4" t="str">
        <f>IF(K313&lt;30, "Young Adult","Adult")</f>
        <v>Adult</v>
      </c>
      <c r="K313" s="4">
        <v>41</v>
      </c>
      <c r="L313" s="4" t="s">
        <v>7</v>
      </c>
      <c r="M313" s="4">
        <v>4</v>
      </c>
      <c r="N313" s="5">
        <v>30</v>
      </c>
      <c r="O313">
        <f>(M313*N313)</f>
        <v>120</v>
      </c>
      <c r="P313">
        <f>O313*$S$3</f>
        <v>1.7999999999999998</v>
      </c>
      <c r="Q313">
        <f>O313*$S$4</f>
        <v>2.4</v>
      </c>
    </row>
    <row r="314" spans="1:17">
      <c r="A314" s="2">
        <v>313</v>
      </c>
      <c r="B314" s="4">
        <f>DAY(G314)</f>
        <v>21</v>
      </c>
      <c r="C314">
        <f>MONTH(G314)</f>
        <v>3</v>
      </c>
      <c r="D314">
        <f>YEAR(G314)</f>
        <v>2023</v>
      </c>
      <c r="E314" t="str">
        <f>TEXT(G314,"DDDD")</f>
        <v>Tuesday</v>
      </c>
      <c r="F314" t="str">
        <f>TEXT(G314,"MMMM")</f>
        <v>March</v>
      </c>
      <c r="G314" s="3">
        <v>45006</v>
      </c>
      <c r="H314" s="4" t="s">
        <v>346</v>
      </c>
      <c r="I314" s="4" t="s">
        <v>3</v>
      </c>
      <c r="J314" s="4" t="str">
        <f>IF(K314&lt;30, "Young Adult","Adult")</f>
        <v>Adult</v>
      </c>
      <c r="K314" s="4">
        <v>55</v>
      </c>
      <c r="L314" s="4" t="s">
        <v>6</v>
      </c>
      <c r="M314" s="4">
        <v>3</v>
      </c>
      <c r="N314" s="5">
        <v>500</v>
      </c>
      <c r="O314">
        <f>(M314*N314)</f>
        <v>1500</v>
      </c>
      <c r="P314">
        <f>O314*$S$3</f>
        <v>22.5</v>
      </c>
      <c r="Q314">
        <f>O314*$S$4</f>
        <v>30</v>
      </c>
    </row>
    <row r="315" spans="1:17">
      <c r="A315" s="2">
        <v>314</v>
      </c>
      <c r="B315" s="4">
        <f>DAY(G315)</f>
        <v>8</v>
      </c>
      <c r="C315">
        <f>MONTH(G315)</f>
        <v>4</v>
      </c>
      <c r="D315">
        <f>YEAR(G315)</f>
        <v>2023</v>
      </c>
      <c r="E315" t="str">
        <f>TEXT(G315,"DDDD")</f>
        <v>Saturday</v>
      </c>
      <c r="F315" t="str">
        <f>TEXT(G315,"MMMM")</f>
        <v>April</v>
      </c>
      <c r="G315" s="3">
        <v>45024</v>
      </c>
      <c r="H315" s="4" t="s">
        <v>347</v>
      </c>
      <c r="I315" s="4" t="s">
        <v>4</v>
      </c>
      <c r="J315" s="4" t="str">
        <f>IF(K315&lt;30, "Young Adult","Adult")</f>
        <v>Adult</v>
      </c>
      <c r="K315" s="4">
        <v>52</v>
      </c>
      <c r="L315" s="4" t="s">
        <v>7</v>
      </c>
      <c r="M315" s="4">
        <v>4</v>
      </c>
      <c r="N315" s="5">
        <v>30</v>
      </c>
      <c r="O315">
        <f>(M315*N315)</f>
        <v>120</v>
      </c>
      <c r="P315">
        <f>O315*$S$3</f>
        <v>1.7999999999999998</v>
      </c>
      <c r="Q315">
        <f>O315*$S$4</f>
        <v>2.4</v>
      </c>
    </row>
    <row r="316" spans="1:17">
      <c r="A316" s="2">
        <v>315</v>
      </c>
      <c r="B316" s="4">
        <f>DAY(G316)</f>
        <v>1</v>
      </c>
      <c r="C316">
        <f>MONTH(G316)</f>
        <v>6</v>
      </c>
      <c r="D316">
        <f>YEAR(G316)</f>
        <v>2023</v>
      </c>
      <c r="E316" t="str">
        <f>TEXT(G316,"DDDD")</f>
        <v>Thursday</v>
      </c>
      <c r="F316" t="str">
        <f>TEXT(G316,"MMMM")</f>
        <v>June</v>
      </c>
      <c r="G316" s="3">
        <v>45078</v>
      </c>
      <c r="H316" s="4" t="s">
        <v>348</v>
      </c>
      <c r="I316" s="4" t="s">
        <v>4</v>
      </c>
      <c r="J316" s="4" t="str">
        <f>IF(K316&lt;30, "Young Adult","Adult")</f>
        <v>Adult</v>
      </c>
      <c r="K316" s="4">
        <v>47</v>
      </c>
      <c r="L316" s="4" t="s">
        <v>7</v>
      </c>
      <c r="M316" s="4">
        <v>2</v>
      </c>
      <c r="N316" s="5">
        <v>30</v>
      </c>
      <c r="O316">
        <f>(M316*N316)</f>
        <v>60</v>
      </c>
      <c r="P316">
        <f>O316*$S$3</f>
        <v>0.89999999999999991</v>
      </c>
      <c r="Q316">
        <f>O316*$S$4</f>
        <v>1.2</v>
      </c>
    </row>
    <row r="317" spans="1:17">
      <c r="A317" s="2">
        <v>316</v>
      </c>
      <c r="B317" s="4">
        <f>DAY(G317)</f>
        <v>22</v>
      </c>
      <c r="C317">
        <f>MONTH(G317)</f>
        <v>4</v>
      </c>
      <c r="D317">
        <f>YEAR(G317)</f>
        <v>2023</v>
      </c>
      <c r="E317" t="str">
        <f>TEXT(G317,"DDDD")</f>
        <v>Saturday</v>
      </c>
      <c r="F317" t="str">
        <f>TEXT(G317,"MMMM")</f>
        <v>April</v>
      </c>
      <c r="G317" s="3">
        <v>45038</v>
      </c>
      <c r="H317" s="4" t="s">
        <v>349</v>
      </c>
      <c r="I317" s="4" t="s">
        <v>3</v>
      </c>
      <c r="J317" s="4" t="str">
        <f>IF(K317&lt;30, "Young Adult","Adult")</f>
        <v>Adult</v>
      </c>
      <c r="K317" s="4">
        <v>48</v>
      </c>
      <c r="L317" s="4" t="s">
        <v>7</v>
      </c>
      <c r="M317" s="4">
        <v>2</v>
      </c>
      <c r="N317" s="5">
        <v>25</v>
      </c>
      <c r="O317">
        <f>(M317*N317)</f>
        <v>50</v>
      </c>
      <c r="P317">
        <f>O317*$S$3</f>
        <v>0.75</v>
      </c>
      <c r="Q317">
        <f>O317*$S$4</f>
        <v>1</v>
      </c>
    </row>
    <row r="318" spans="1:17">
      <c r="A318" s="2">
        <v>317</v>
      </c>
      <c r="B318" s="4">
        <f>DAY(G318)</f>
        <v>30</v>
      </c>
      <c r="C318">
        <f>MONTH(G318)</f>
        <v>1</v>
      </c>
      <c r="D318">
        <f>YEAR(G318)</f>
        <v>2023</v>
      </c>
      <c r="E318" t="str">
        <f>TEXT(G318,"DDDD")</f>
        <v>Monday</v>
      </c>
      <c r="F318" t="str">
        <f>TEXT(G318,"MMMM")</f>
        <v>January</v>
      </c>
      <c r="G318" s="3">
        <v>44956</v>
      </c>
      <c r="H318" s="4" t="s">
        <v>350</v>
      </c>
      <c r="I318" s="4" t="s">
        <v>4</v>
      </c>
      <c r="J318" s="4" t="str">
        <f>IF(K318&lt;30, "Young Adult","Adult")</f>
        <v>Young Adult</v>
      </c>
      <c r="K318" s="4">
        <v>22</v>
      </c>
      <c r="L318" s="4" t="s">
        <v>8</v>
      </c>
      <c r="M318" s="4">
        <v>3</v>
      </c>
      <c r="N318" s="5">
        <v>30</v>
      </c>
      <c r="O318">
        <f>(M318*N318)</f>
        <v>90</v>
      </c>
      <c r="P318">
        <f>O318*$S$3</f>
        <v>1.3499999999999999</v>
      </c>
      <c r="Q318">
        <f>O318*$S$4</f>
        <v>1.8</v>
      </c>
    </row>
    <row r="319" spans="1:17">
      <c r="A319" s="2">
        <v>318</v>
      </c>
      <c r="B319" s="4">
        <f>DAY(G319)</f>
        <v>24</v>
      </c>
      <c r="C319">
        <f>MONTH(G319)</f>
        <v>10</v>
      </c>
      <c r="D319">
        <f>YEAR(G319)</f>
        <v>2023</v>
      </c>
      <c r="E319" t="str">
        <f>TEXT(G319,"DDDD")</f>
        <v>Tuesday</v>
      </c>
      <c r="F319" t="str">
        <f>TEXT(G319,"MMMM")</f>
        <v>October</v>
      </c>
      <c r="G319" s="3">
        <v>45223</v>
      </c>
      <c r="H319" s="4" t="s">
        <v>351</v>
      </c>
      <c r="I319" s="4" t="s">
        <v>4</v>
      </c>
      <c r="J319" s="4" t="str">
        <f>IF(K319&lt;30, "Young Adult","Adult")</f>
        <v>Adult</v>
      </c>
      <c r="K319" s="4">
        <v>61</v>
      </c>
      <c r="L319" s="4" t="s">
        <v>7</v>
      </c>
      <c r="M319" s="4">
        <v>1</v>
      </c>
      <c r="N319" s="5">
        <v>25</v>
      </c>
      <c r="O319">
        <f>(M319*N319)</f>
        <v>25</v>
      </c>
      <c r="P319">
        <f>O319*$S$3</f>
        <v>0.375</v>
      </c>
      <c r="Q319">
        <f>O319*$S$4</f>
        <v>0.5</v>
      </c>
    </row>
    <row r="320" spans="1:17">
      <c r="A320" s="2">
        <v>319</v>
      </c>
      <c r="B320" s="4">
        <f>DAY(G320)</f>
        <v>5</v>
      </c>
      <c r="C320">
        <f>MONTH(G320)</f>
        <v>10</v>
      </c>
      <c r="D320">
        <f>YEAR(G320)</f>
        <v>2023</v>
      </c>
      <c r="E320" t="str">
        <f>TEXT(G320,"DDDD")</f>
        <v>Thursday</v>
      </c>
      <c r="F320" t="str">
        <f>TEXT(G320,"MMMM")</f>
        <v>October</v>
      </c>
      <c r="G320" s="3">
        <v>45204</v>
      </c>
      <c r="H320" s="4" t="s">
        <v>352</v>
      </c>
      <c r="I320" s="4" t="s">
        <v>4</v>
      </c>
      <c r="J320" s="4" t="str">
        <f>IF(K320&lt;30, "Young Adult","Adult")</f>
        <v>Adult</v>
      </c>
      <c r="K320" s="4">
        <v>31</v>
      </c>
      <c r="L320" s="4" t="s">
        <v>7</v>
      </c>
      <c r="M320" s="4">
        <v>1</v>
      </c>
      <c r="N320" s="5">
        <v>500</v>
      </c>
      <c r="O320">
        <f>(M320*N320)</f>
        <v>500</v>
      </c>
      <c r="P320">
        <f>O320*$S$3</f>
        <v>7.5</v>
      </c>
      <c r="Q320">
        <f>O320*$S$4</f>
        <v>10</v>
      </c>
    </row>
    <row r="321" spans="1:17">
      <c r="A321" s="2">
        <v>320</v>
      </c>
      <c r="B321" s="4">
        <f>DAY(G321)</f>
        <v>1</v>
      </c>
      <c r="C321">
        <f>MONTH(G321)</f>
        <v>2</v>
      </c>
      <c r="D321">
        <f>YEAR(G321)</f>
        <v>2023</v>
      </c>
      <c r="E321" t="str">
        <f>TEXT(G321,"DDDD")</f>
        <v>Wednesday</v>
      </c>
      <c r="F321" t="str">
        <f>TEXT(G321,"MMMM")</f>
        <v>February</v>
      </c>
      <c r="G321" s="3">
        <v>44958</v>
      </c>
      <c r="H321" s="4" t="s">
        <v>353</v>
      </c>
      <c r="I321" s="4" t="s">
        <v>3</v>
      </c>
      <c r="J321" s="4" t="str">
        <f>IF(K321&lt;30, "Young Adult","Adult")</f>
        <v>Young Adult</v>
      </c>
      <c r="K321" s="4">
        <v>28</v>
      </c>
      <c r="L321" s="4" t="s">
        <v>8</v>
      </c>
      <c r="M321" s="4">
        <v>4</v>
      </c>
      <c r="N321" s="5">
        <v>300</v>
      </c>
      <c r="O321">
        <f>(M321*N321)</f>
        <v>1200</v>
      </c>
      <c r="P321">
        <f>O321*$S$3</f>
        <v>18</v>
      </c>
      <c r="Q321">
        <f>O321*$S$4</f>
        <v>24</v>
      </c>
    </row>
    <row r="322" spans="1:17">
      <c r="A322" s="2">
        <v>321</v>
      </c>
      <c r="B322" s="4">
        <f>DAY(G322)</f>
        <v>10</v>
      </c>
      <c r="C322">
        <f>MONTH(G322)</f>
        <v>6</v>
      </c>
      <c r="D322">
        <f>YEAR(G322)</f>
        <v>2023</v>
      </c>
      <c r="E322" t="str">
        <f>TEXT(G322,"DDDD")</f>
        <v>Saturday</v>
      </c>
      <c r="F322" t="str">
        <f>TEXT(G322,"MMMM")</f>
        <v>June</v>
      </c>
      <c r="G322" s="3">
        <v>45087</v>
      </c>
      <c r="H322" s="4" t="s">
        <v>354</v>
      </c>
      <c r="I322" s="4" t="s">
        <v>3</v>
      </c>
      <c r="J322" s="4" t="str">
        <f>IF(K322&lt;30, "Young Adult","Adult")</f>
        <v>Young Adult</v>
      </c>
      <c r="K322" s="4">
        <v>26</v>
      </c>
      <c r="L322" s="4" t="s">
        <v>8</v>
      </c>
      <c r="M322" s="4">
        <v>2</v>
      </c>
      <c r="N322" s="5">
        <v>25</v>
      </c>
      <c r="O322">
        <f>(M322*N322)</f>
        <v>50</v>
      </c>
      <c r="P322">
        <f>O322*$S$3</f>
        <v>0.75</v>
      </c>
      <c r="Q322">
        <f>O322*$S$4</f>
        <v>1</v>
      </c>
    </row>
    <row r="323" spans="1:17">
      <c r="A323" s="2">
        <v>322</v>
      </c>
      <c r="B323" s="4">
        <f>DAY(G323)</f>
        <v>30</v>
      </c>
      <c r="C323">
        <f>MONTH(G323)</f>
        <v>1</v>
      </c>
      <c r="D323">
        <f>YEAR(G323)</f>
        <v>2023</v>
      </c>
      <c r="E323" t="str">
        <f>TEXT(G323,"DDDD")</f>
        <v>Monday</v>
      </c>
      <c r="F323" t="str">
        <f>TEXT(G323,"MMMM")</f>
        <v>January</v>
      </c>
      <c r="G323" s="3">
        <v>44956</v>
      </c>
      <c r="H323" s="4" t="s">
        <v>355</v>
      </c>
      <c r="I323" s="4" t="s">
        <v>4</v>
      </c>
      <c r="J323" s="4" t="str">
        <f>IF(K323&lt;30, "Young Adult","Adult")</f>
        <v>Adult</v>
      </c>
      <c r="K323" s="4">
        <v>51</v>
      </c>
      <c r="L323" s="4" t="s">
        <v>8</v>
      </c>
      <c r="M323" s="4">
        <v>1</v>
      </c>
      <c r="N323" s="5">
        <v>500</v>
      </c>
      <c r="O323">
        <f>(M323*N323)</f>
        <v>500</v>
      </c>
      <c r="P323">
        <f>O323*$S$3</f>
        <v>7.5</v>
      </c>
      <c r="Q323">
        <f>O323*$S$4</f>
        <v>10</v>
      </c>
    </row>
    <row r="324" spans="1:17">
      <c r="A324" s="2">
        <v>323</v>
      </c>
      <c r="B324" s="4">
        <f>DAY(G324)</f>
        <v>26</v>
      </c>
      <c r="C324">
        <f>MONTH(G324)</f>
        <v>1</v>
      </c>
      <c r="D324">
        <f>YEAR(G324)</f>
        <v>2023</v>
      </c>
      <c r="E324" t="str">
        <f>TEXT(G324,"DDDD")</f>
        <v>Thursday</v>
      </c>
      <c r="F324" t="str">
        <f>TEXT(G324,"MMMM")</f>
        <v>January</v>
      </c>
      <c r="G324" s="3">
        <v>44952</v>
      </c>
      <c r="H324" s="4" t="s">
        <v>356</v>
      </c>
      <c r="I324" s="4" t="s">
        <v>3</v>
      </c>
      <c r="J324" s="4" t="str">
        <f>IF(K324&lt;30, "Young Adult","Adult")</f>
        <v>Young Adult</v>
      </c>
      <c r="K324" s="4">
        <v>29</v>
      </c>
      <c r="L324" s="4" t="s">
        <v>6</v>
      </c>
      <c r="M324" s="4">
        <v>3</v>
      </c>
      <c r="N324" s="5">
        <v>300</v>
      </c>
      <c r="O324">
        <f>(M324*N324)</f>
        <v>900</v>
      </c>
      <c r="P324">
        <f>O324*$S$3</f>
        <v>13.5</v>
      </c>
      <c r="Q324">
        <f>O324*$S$4</f>
        <v>18</v>
      </c>
    </row>
    <row r="325" spans="1:17">
      <c r="A325" s="2">
        <v>324</v>
      </c>
      <c r="B325" s="4">
        <f>DAY(G325)</f>
        <v>27</v>
      </c>
      <c r="C325">
        <f>MONTH(G325)</f>
        <v>10</v>
      </c>
      <c r="D325">
        <f>YEAR(G325)</f>
        <v>2023</v>
      </c>
      <c r="E325" t="str">
        <f>TEXT(G325,"DDDD")</f>
        <v>Friday</v>
      </c>
      <c r="F325" t="str">
        <f>TEXT(G325,"MMMM")</f>
        <v>October</v>
      </c>
      <c r="G325" s="3">
        <v>45226</v>
      </c>
      <c r="H325" s="4" t="s">
        <v>357</v>
      </c>
      <c r="I325" s="4" t="s">
        <v>3</v>
      </c>
      <c r="J325" s="4" t="str">
        <f>IF(K325&lt;30, "Young Adult","Adult")</f>
        <v>Adult</v>
      </c>
      <c r="K325" s="4">
        <v>52</v>
      </c>
      <c r="L325" s="4" t="s">
        <v>8</v>
      </c>
      <c r="M325" s="4">
        <v>3</v>
      </c>
      <c r="N325" s="5">
        <v>50</v>
      </c>
      <c r="O325">
        <f>(M325*N325)</f>
        <v>150</v>
      </c>
      <c r="P325">
        <f>O325*$S$3</f>
        <v>2.25</v>
      </c>
      <c r="Q325">
        <f>O325*$S$4</f>
        <v>3</v>
      </c>
    </row>
    <row r="326" spans="1:17">
      <c r="A326" s="2">
        <v>325</v>
      </c>
      <c r="B326" s="4">
        <f>DAY(G326)</f>
        <v>2</v>
      </c>
      <c r="C326">
        <f>MONTH(G326)</f>
        <v>9</v>
      </c>
      <c r="D326">
        <f>YEAR(G326)</f>
        <v>2023</v>
      </c>
      <c r="E326" t="str">
        <f>TEXT(G326,"DDDD")</f>
        <v>Saturday</v>
      </c>
      <c r="F326" t="str">
        <f>TEXT(G326,"MMMM")</f>
        <v>September</v>
      </c>
      <c r="G326" s="3">
        <v>45171</v>
      </c>
      <c r="H326" s="4" t="s">
        <v>358</v>
      </c>
      <c r="I326" s="4" t="s">
        <v>3</v>
      </c>
      <c r="J326" s="4" t="str">
        <f>IF(K326&lt;30, "Young Adult","Adult")</f>
        <v>Adult</v>
      </c>
      <c r="K326" s="4">
        <v>52</v>
      </c>
      <c r="L326" s="4" t="s">
        <v>8</v>
      </c>
      <c r="M326" s="4">
        <v>2</v>
      </c>
      <c r="N326" s="5">
        <v>25</v>
      </c>
      <c r="O326">
        <f>(M326*N326)</f>
        <v>50</v>
      </c>
      <c r="P326">
        <f>O326*$S$3</f>
        <v>0.75</v>
      </c>
      <c r="Q326">
        <f>O326*$S$4</f>
        <v>1</v>
      </c>
    </row>
    <row r="327" spans="1:17">
      <c r="A327" s="2">
        <v>326</v>
      </c>
      <c r="B327" s="4">
        <f>DAY(G327)</f>
        <v>15</v>
      </c>
      <c r="C327">
        <f>MONTH(G327)</f>
        <v>9</v>
      </c>
      <c r="D327">
        <f>YEAR(G327)</f>
        <v>2023</v>
      </c>
      <c r="E327" t="str">
        <f>TEXT(G327,"DDDD")</f>
        <v>Friday</v>
      </c>
      <c r="F327" t="str">
        <f>TEXT(G327,"MMMM")</f>
        <v>September</v>
      </c>
      <c r="G327" s="3">
        <v>45184</v>
      </c>
      <c r="H327" s="4" t="s">
        <v>359</v>
      </c>
      <c r="I327" s="4" t="s">
        <v>3</v>
      </c>
      <c r="J327" s="4" t="str">
        <f>IF(K327&lt;30, "Young Adult","Adult")</f>
        <v>Young Adult</v>
      </c>
      <c r="K327" s="4">
        <v>18</v>
      </c>
      <c r="L327" s="4" t="s">
        <v>7</v>
      </c>
      <c r="M327" s="4">
        <v>3</v>
      </c>
      <c r="N327" s="5">
        <v>25</v>
      </c>
      <c r="O327">
        <f>(M327*N327)</f>
        <v>75</v>
      </c>
      <c r="P327">
        <f>O327*$S$3</f>
        <v>1.125</v>
      </c>
      <c r="Q327">
        <f>O327*$S$4</f>
        <v>1.5</v>
      </c>
    </row>
    <row r="328" spans="1:17">
      <c r="A328" s="2">
        <v>327</v>
      </c>
      <c r="B328" s="4">
        <f>DAY(G328)</f>
        <v>29</v>
      </c>
      <c r="C328">
        <f>MONTH(G328)</f>
        <v>9</v>
      </c>
      <c r="D328">
        <f>YEAR(G328)</f>
        <v>2023</v>
      </c>
      <c r="E328" t="str">
        <f>TEXT(G328,"DDDD")</f>
        <v>Friday</v>
      </c>
      <c r="F328" t="str">
        <f>TEXT(G328,"MMMM")</f>
        <v>September</v>
      </c>
      <c r="G328" s="3">
        <v>45198</v>
      </c>
      <c r="H328" s="4" t="s">
        <v>360</v>
      </c>
      <c r="I328" s="4" t="s">
        <v>4</v>
      </c>
      <c r="J328" s="4" t="str">
        <f>IF(K328&lt;30, "Young Adult","Adult")</f>
        <v>Adult</v>
      </c>
      <c r="K328" s="4">
        <v>57</v>
      </c>
      <c r="L328" s="4" t="s">
        <v>8</v>
      </c>
      <c r="M328" s="4">
        <v>3</v>
      </c>
      <c r="N328" s="5">
        <v>50</v>
      </c>
      <c r="O328">
        <f>(M328*N328)</f>
        <v>150</v>
      </c>
      <c r="P328">
        <f>O328*$S$3</f>
        <v>2.25</v>
      </c>
      <c r="Q328">
        <f>O328*$S$4</f>
        <v>3</v>
      </c>
    </row>
    <row r="329" spans="1:17">
      <c r="A329" s="2">
        <v>328</v>
      </c>
      <c r="B329" s="4">
        <f>DAY(G329)</f>
        <v>22</v>
      </c>
      <c r="C329">
        <f>MONTH(G329)</f>
        <v>3</v>
      </c>
      <c r="D329">
        <f>YEAR(G329)</f>
        <v>2023</v>
      </c>
      <c r="E329" t="str">
        <f>TEXT(G329,"DDDD")</f>
        <v>Wednesday</v>
      </c>
      <c r="F329" t="str">
        <f>TEXT(G329,"MMMM")</f>
        <v>March</v>
      </c>
      <c r="G329" s="3">
        <v>45007</v>
      </c>
      <c r="H329" s="4" t="s">
        <v>361</v>
      </c>
      <c r="I329" s="4" t="s">
        <v>4</v>
      </c>
      <c r="J329" s="4" t="str">
        <f>IF(K329&lt;30, "Young Adult","Adult")</f>
        <v>Adult</v>
      </c>
      <c r="K329" s="4">
        <v>39</v>
      </c>
      <c r="L329" s="4" t="s">
        <v>6</v>
      </c>
      <c r="M329" s="4">
        <v>2</v>
      </c>
      <c r="N329" s="5">
        <v>50</v>
      </c>
      <c r="O329">
        <f>(M329*N329)</f>
        <v>100</v>
      </c>
      <c r="P329">
        <f>O329*$S$3</f>
        <v>1.5</v>
      </c>
      <c r="Q329">
        <f>O329*$S$4</f>
        <v>2</v>
      </c>
    </row>
    <row r="330" spans="1:17">
      <c r="A330" s="2">
        <v>329</v>
      </c>
      <c r="B330" s="4">
        <f>DAY(G330)</f>
        <v>30</v>
      </c>
      <c r="C330">
        <f>MONTH(G330)</f>
        <v>1</v>
      </c>
      <c r="D330">
        <f>YEAR(G330)</f>
        <v>2023</v>
      </c>
      <c r="E330" t="str">
        <f>TEXT(G330,"DDDD")</f>
        <v>Monday</v>
      </c>
      <c r="F330" t="str">
        <f>TEXT(G330,"MMMM")</f>
        <v>January</v>
      </c>
      <c r="G330" s="3">
        <v>44956</v>
      </c>
      <c r="H330" s="4" t="s">
        <v>362</v>
      </c>
      <c r="I330" s="4" t="s">
        <v>3</v>
      </c>
      <c r="J330" s="4" t="str">
        <f>IF(K330&lt;30, "Young Adult","Adult")</f>
        <v>Adult</v>
      </c>
      <c r="K330" s="4">
        <v>46</v>
      </c>
      <c r="L330" s="4" t="s">
        <v>8</v>
      </c>
      <c r="M330" s="4">
        <v>4</v>
      </c>
      <c r="N330" s="5">
        <v>25</v>
      </c>
      <c r="O330">
        <f>(M330*N330)</f>
        <v>100</v>
      </c>
      <c r="P330">
        <f>O330*$S$3</f>
        <v>1.5</v>
      </c>
      <c r="Q330">
        <f>O330*$S$4</f>
        <v>2</v>
      </c>
    </row>
    <row r="331" spans="1:17">
      <c r="A331" s="2">
        <v>330</v>
      </c>
      <c r="B331" s="4">
        <f>DAY(G331)</f>
        <v>18</v>
      </c>
      <c r="C331">
        <f>MONTH(G331)</f>
        <v>9</v>
      </c>
      <c r="D331">
        <f>YEAR(G331)</f>
        <v>2023</v>
      </c>
      <c r="E331" t="str">
        <f>TEXT(G331,"DDDD")</f>
        <v>Monday</v>
      </c>
      <c r="F331" t="str">
        <f>TEXT(G331,"MMMM")</f>
        <v>September</v>
      </c>
      <c r="G331" s="3">
        <v>45187</v>
      </c>
      <c r="H331" s="4" t="s">
        <v>363</v>
      </c>
      <c r="I331" s="4" t="s">
        <v>3</v>
      </c>
      <c r="J331" s="4" t="str">
        <f>IF(K331&lt;30, "Young Adult","Adult")</f>
        <v>Young Adult</v>
      </c>
      <c r="K331" s="4">
        <v>25</v>
      </c>
      <c r="L331" s="4" t="s">
        <v>6</v>
      </c>
      <c r="M331" s="4">
        <v>4</v>
      </c>
      <c r="N331" s="5">
        <v>50</v>
      </c>
      <c r="O331">
        <f>(M331*N331)</f>
        <v>200</v>
      </c>
      <c r="P331">
        <f>O331*$S$3</f>
        <v>3</v>
      </c>
      <c r="Q331">
        <f>O331*$S$4</f>
        <v>4</v>
      </c>
    </row>
    <row r="332" spans="1:17">
      <c r="A332" s="2">
        <v>331</v>
      </c>
      <c r="B332" s="4">
        <f>DAY(G332)</f>
        <v>11</v>
      </c>
      <c r="C332">
        <f>MONTH(G332)</f>
        <v>2</v>
      </c>
      <c r="D332">
        <f>YEAR(G332)</f>
        <v>2023</v>
      </c>
      <c r="E332" t="str">
        <f>TEXT(G332,"DDDD")</f>
        <v>Saturday</v>
      </c>
      <c r="F332" t="str">
        <f>TEXT(G332,"MMMM")</f>
        <v>February</v>
      </c>
      <c r="G332" s="3">
        <v>44968</v>
      </c>
      <c r="H332" s="4" t="s">
        <v>364</v>
      </c>
      <c r="I332" s="4" t="s">
        <v>4</v>
      </c>
      <c r="J332" s="4" t="str">
        <f>IF(K332&lt;30, "Young Adult","Adult")</f>
        <v>Young Adult</v>
      </c>
      <c r="K332" s="4">
        <v>28</v>
      </c>
      <c r="L332" s="4" t="s">
        <v>8</v>
      </c>
      <c r="M332" s="4">
        <v>3</v>
      </c>
      <c r="N332" s="5">
        <v>30</v>
      </c>
      <c r="O332">
        <f>(M332*N332)</f>
        <v>90</v>
      </c>
      <c r="P332">
        <f>O332*$S$3</f>
        <v>1.3499999999999999</v>
      </c>
      <c r="Q332">
        <f>O332*$S$4</f>
        <v>1.8</v>
      </c>
    </row>
    <row r="333" spans="1:17">
      <c r="A333" s="2">
        <v>332</v>
      </c>
      <c r="B333" s="4">
        <f>DAY(G333)</f>
        <v>6</v>
      </c>
      <c r="C333">
        <f>MONTH(G333)</f>
        <v>4</v>
      </c>
      <c r="D333">
        <f>YEAR(G333)</f>
        <v>2023</v>
      </c>
      <c r="E333" t="str">
        <f>TEXT(G333,"DDDD")</f>
        <v>Thursday</v>
      </c>
      <c r="F333" t="str">
        <f>TEXT(G333,"MMMM")</f>
        <v>April</v>
      </c>
      <c r="G333" s="3">
        <v>45022</v>
      </c>
      <c r="H333" s="4" t="s">
        <v>365</v>
      </c>
      <c r="I333" s="4" t="s">
        <v>4</v>
      </c>
      <c r="J333" s="4" t="str">
        <f>IF(K333&lt;30, "Young Adult","Adult")</f>
        <v>Adult</v>
      </c>
      <c r="K333" s="4">
        <v>58</v>
      </c>
      <c r="L333" s="4" t="s">
        <v>8</v>
      </c>
      <c r="M333" s="4">
        <v>4</v>
      </c>
      <c r="N333" s="5">
        <v>300</v>
      </c>
      <c r="O333">
        <f>(M333*N333)</f>
        <v>1200</v>
      </c>
      <c r="P333">
        <f>O333*$S$3</f>
        <v>18</v>
      </c>
      <c r="Q333">
        <f>O333*$S$4</f>
        <v>24</v>
      </c>
    </row>
    <row r="334" spans="1:17">
      <c r="A334" s="2">
        <v>333</v>
      </c>
      <c r="B334" s="4">
        <f>DAY(G334)</f>
        <v>5</v>
      </c>
      <c r="C334">
        <f>MONTH(G334)</f>
        <v>2</v>
      </c>
      <c r="D334">
        <f>YEAR(G334)</f>
        <v>2023</v>
      </c>
      <c r="E334" t="str">
        <f>TEXT(G334,"DDDD")</f>
        <v>Sunday</v>
      </c>
      <c r="F334" t="str">
        <f>TEXT(G334,"MMMM")</f>
        <v>February</v>
      </c>
      <c r="G334" s="3">
        <v>44962</v>
      </c>
      <c r="H334" s="4" t="s">
        <v>366</v>
      </c>
      <c r="I334" s="4" t="s">
        <v>3</v>
      </c>
      <c r="J334" s="4" t="str">
        <f>IF(K334&lt;30, "Young Adult","Adult")</f>
        <v>Adult</v>
      </c>
      <c r="K334" s="4">
        <v>54</v>
      </c>
      <c r="L334" s="4" t="s">
        <v>8</v>
      </c>
      <c r="M334" s="4">
        <v>4</v>
      </c>
      <c r="N334" s="5">
        <v>300</v>
      </c>
      <c r="O334">
        <f>(M334*N334)</f>
        <v>1200</v>
      </c>
      <c r="P334">
        <f>O334*$S$3</f>
        <v>18</v>
      </c>
      <c r="Q334">
        <f>O334*$S$4</f>
        <v>24</v>
      </c>
    </row>
    <row r="335" spans="1:17">
      <c r="A335" s="2">
        <v>334</v>
      </c>
      <c r="B335" s="4">
        <f>DAY(G335)</f>
        <v>1</v>
      </c>
      <c r="C335">
        <f>MONTH(G335)</f>
        <v>11</v>
      </c>
      <c r="D335">
        <f>YEAR(G335)</f>
        <v>2023</v>
      </c>
      <c r="E335" t="str">
        <f>TEXT(G335,"DDDD")</f>
        <v>Wednesday</v>
      </c>
      <c r="F335" t="str">
        <f>TEXT(G335,"MMMM")</f>
        <v>November</v>
      </c>
      <c r="G335" s="3">
        <v>45231</v>
      </c>
      <c r="H335" s="4" t="s">
        <v>367</v>
      </c>
      <c r="I335" s="4" t="s">
        <v>4</v>
      </c>
      <c r="J335" s="4" t="str">
        <f>IF(K335&lt;30, "Young Adult","Adult")</f>
        <v>Adult</v>
      </c>
      <c r="K335" s="4">
        <v>31</v>
      </c>
      <c r="L335" s="4" t="s">
        <v>8</v>
      </c>
      <c r="M335" s="4">
        <v>3</v>
      </c>
      <c r="N335" s="5">
        <v>300</v>
      </c>
      <c r="O335">
        <f>(M335*N335)</f>
        <v>900</v>
      </c>
      <c r="P335">
        <f>O335*$S$3</f>
        <v>13.5</v>
      </c>
      <c r="Q335">
        <f>O335*$S$4</f>
        <v>18</v>
      </c>
    </row>
    <row r="336" spans="1:17">
      <c r="A336" s="2">
        <v>335</v>
      </c>
      <c r="B336" s="4">
        <f>DAY(G336)</f>
        <v>4</v>
      </c>
      <c r="C336">
        <f>MONTH(G336)</f>
        <v>2</v>
      </c>
      <c r="D336">
        <f>YEAR(G336)</f>
        <v>2023</v>
      </c>
      <c r="E336" t="str">
        <f>TEXT(G336,"DDDD")</f>
        <v>Saturday</v>
      </c>
      <c r="F336" t="str">
        <f>TEXT(G336,"MMMM")</f>
        <v>February</v>
      </c>
      <c r="G336" s="3">
        <v>44961</v>
      </c>
      <c r="H336" s="4" t="s">
        <v>368</v>
      </c>
      <c r="I336" s="4" t="s">
        <v>3</v>
      </c>
      <c r="J336" s="4" t="str">
        <f>IF(K336&lt;30, "Young Adult","Adult")</f>
        <v>Adult</v>
      </c>
      <c r="K336" s="4">
        <v>47</v>
      </c>
      <c r="L336" s="4" t="s">
        <v>6</v>
      </c>
      <c r="M336" s="4">
        <v>4</v>
      </c>
      <c r="N336" s="5">
        <v>30</v>
      </c>
      <c r="O336">
        <f>(M336*N336)</f>
        <v>120</v>
      </c>
      <c r="P336">
        <f>O336*$S$3</f>
        <v>1.7999999999999998</v>
      </c>
      <c r="Q336">
        <f>O336*$S$4</f>
        <v>2.4</v>
      </c>
    </row>
    <row r="337" spans="1:17">
      <c r="A337" s="2">
        <v>336</v>
      </c>
      <c r="B337" s="4">
        <f>DAY(G337)</f>
        <v>12</v>
      </c>
      <c r="C337">
        <f>MONTH(G337)</f>
        <v>12</v>
      </c>
      <c r="D337">
        <f>YEAR(G337)</f>
        <v>2023</v>
      </c>
      <c r="E337" t="str">
        <f>TEXT(G337,"DDDD")</f>
        <v>Tuesday</v>
      </c>
      <c r="F337" t="str">
        <f>TEXT(G337,"MMMM")</f>
        <v>December</v>
      </c>
      <c r="G337" s="3">
        <v>45272</v>
      </c>
      <c r="H337" s="4" t="s">
        <v>369</v>
      </c>
      <c r="I337" s="4" t="s">
        <v>3</v>
      </c>
      <c r="J337" s="4" t="str">
        <f>IF(K337&lt;30, "Young Adult","Adult")</f>
        <v>Adult</v>
      </c>
      <c r="K337" s="4">
        <v>52</v>
      </c>
      <c r="L337" s="4" t="s">
        <v>6</v>
      </c>
      <c r="M337" s="4">
        <v>3</v>
      </c>
      <c r="N337" s="5">
        <v>50</v>
      </c>
      <c r="O337">
        <f>(M337*N337)</f>
        <v>150</v>
      </c>
      <c r="P337">
        <f>O337*$S$3</f>
        <v>2.25</v>
      </c>
      <c r="Q337">
        <f>O337*$S$4</f>
        <v>3</v>
      </c>
    </row>
    <row r="338" spans="1:17">
      <c r="A338" s="2">
        <v>337</v>
      </c>
      <c r="B338" s="4">
        <f>DAY(G338)</f>
        <v>1</v>
      </c>
      <c r="C338">
        <f>MONTH(G338)</f>
        <v>5</v>
      </c>
      <c r="D338">
        <f>YEAR(G338)</f>
        <v>2023</v>
      </c>
      <c r="E338" t="str">
        <f>TEXT(G338,"DDDD")</f>
        <v>Monday</v>
      </c>
      <c r="F338" t="str">
        <f>TEXT(G338,"MMMM")</f>
        <v>May</v>
      </c>
      <c r="G338" s="3">
        <v>45047</v>
      </c>
      <c r="H338" s="4" t="s">
        <v>370</v>
      </c>
      <c r="I338" s="4" t="s">
        <v>4</v>
      </c>
      <c r="J338" s="4" t="str">
        <f>IF(K338&lt;30, "Young Adult","Adult")</f>
        <v>Adult</v>
      </c>
      <c r="K338" s="4">
        <v>38</v>
      </c>
      <c r="L338" s="4" t="s">
        <v>7</v>
      </c>
      <c r="M338" s="4">
        <v>1</v>
      </c>
      <c r="N338" s="5">
        <v>500</v>
      </c>
      <c r="O338">
        <f>(M338*N338)</f>
        <v>500</v>
      </c>
      <c r="P338">
        <f>O338*$S$3</f>
        <v>7.5</v>
      </c>
      <c r="Q338">
        <f>O338*$S$4</f>
        <v>10</v>
      </c>
    </row>
    <row r="339" spans="1:17">
      <c r="A339" s="2">
        <v>338</v>
      </c>
      <c r="B339" s="4">
        <f>DAY(G339)</f>
        <v>26</v>
      </c>
      <c r="C339">
        <f>MONTH(G339)</f>
        <v>7</v>
      </c>
      <c r="D339">
        <f>YEAR(G339)</f>
        <v>2023</v>
      </c>
      <c r="E339" t="str">
        <f>TEXT(G339,"DDDD")</f>
        <v>Wednesday</v>
      </c>
      <c r="F339" t="str">
        <f>TEXT(G339,"MMMM")</f>
        <v>July</v>
      </c>
      <c r="G339" s="3">
        <v>45133</v>
      </c>
      <c r="H339" s="4" t="s">
        <v>371</v>
      </c>
      <c r="I339" s="4" t="s">
        <v>4</v>
      </c>
      <c r="J339" s="4" t="str">
        <f>IF(K339&lt;30, "Young Adult","Adult")</f>
        <v>Adult</v>
      </c>
      <c r="K339" s="4">
        <v>54</v>
      </c>
      <c r="L339" s="4" t="s">
        <v>6</v>
      </c>
      <c r="M339" s="4">
        <v>2</v>
      </c>
      <c r="N339" s="5">
        <v>50</v>
      </c>
      <c r="O339">
        <f>(M339*N339)</f>
        <v>100</v>
      </c>
      <c r="P339">
        <f>O339*$S$3</f>
        <v>1.5</v>
      </c>
      <c r="Q339">
        <f>O339*$S$4</f>
        <v>2</v>
      </c>
    </row>
    <row r="340" spans="1:17">
      <c r="A340" s="2">
        <v>339</v>
      </c>
      <c r="B340" s="4">
        <f>DAY(G340)</f>
        <v>3</v>
      </c>
      <c r="C340">
        <f>MONTH(G340)</f>
        <v>3</v>
      </c>
      <c r="D340">
        <f>YEAR(G340)</f>
        <v>2023</v>
      </c>
      <c r="E340" t="str">
        <f>TEXT(G340,"DDDD")</f>
        <v>Friday</v>
      </c>
      <c r="F340" t="str">
        <f>TEXT(G340,"MMMM")</f>
        <v>March</v>
      </c>
      <c r="G340" s="3">
        <v>44988</v>
      </c>
      <c r="H340" s="4" t="s">
        <v>372</v>
      </c>
      <c r="I340" s="4" t="s">
        <v>3</v>
      </c>
      <c r="J340" s="4" t="str">
        <f>IF(K340&lt;30, "Young Adult","Adult")</f>
        <v>Young Adult</v>
      </c>
      <c r="K340" s="4">
        <v>22</v>
      </c>
      <c r="L340" s="4" t="s">
        <v>8</v>
      </c>
      <c r="M340" s="4">
        <v>2</v>
      </c>
      <c r="N340" s="5">
        <v>25</v>
      </c>
      <c r="O340">
        <f>(M340*N340)</f>
        <v>50</v>
      </c>
      <c r="P340">
        <f>O340*$S$3</f>
        <v>0.75</v>
      </c>
      <c r="Q340">
        <f>O340*$S$4</f>
        <v>1</v>
      </c>
    </row>
    <row r="341" spans="1:17">
      <c r="A341" s="2">
        <v>340</v>
      </c>
      <c r="B341" s="4">
        <f>DAY(G341)</f>
        <v>19</v>
      </c>
      <c r="C341">
        <f>MONTH(G341)</f>
        <v>10</v>
      </c>
      <c r="D341">
        <f>YEAR(G341)</f>
        <v>2023</v>
      </c>
      <c r="E341" t="str">
        <f>TEXT(G341,"DDDD")</f>
        <v>Thursday</v>
      </c>
      <c r="F341" t="str">
        <f>TEXT(G341,"MMMM")</f>
        <v>October</v>
      </c>
      <c r="G341" s="3">
        <v>45218</v>
      </c>
      <c r="H341" s="4" t="s">
        <v>373</v>
      </c>
      <c r="I341" s="4" t="s">
        <v>3</v>
      </c>
      <c r="J341" s="4" t="str">
        <f>IF(K341&lt;30, "Young Adult","Adult")</f>
        <v>Adult</v>
      </c>
      <c r="K341" s="4">
        <v>36</v>
      </c>
      <c r="L341" s="4" t="s">
        <v>7</v>
      </c>
      <c r="M341" s="4">
        <v>4</v>
      </c>
      <c r="N341" s="5">
        <v>300</v>
      </c>
      <c r="O341">
        <f>(M341*N341)</f>
        <v>1200</v>
      </c>
      <c r="P341">
        <f>O341*$S$3</f>
        <v>18</v>
      </c>
      <c r="Q341">
        <f>O341*$S$4</f>
        <v>24</v>
      </c>
    </row>
    <row r="342" spans="1:17">
      <c r="A342" s="2">
        <v>341</v>
      </c>
      <c r="B342" s="4">
        <f>DAY(G342)</f>
        <v>7</v>
      </c>
      <c r="C342">
        <f>MONTH(G342)</f>
        <v>5</v>
      </c>
      <c r="D342">
        <f>YEAR(G342)</f>
        <v>2023</v>
      </c>
      <c r="E342" t="str">
        <f>TEXT(G342,"DDDD")</f>
        <v>Sunday</v>
      </c>
      <c r="F342" t="str">
        <f>TEXT(G342,"MMMM")</f>
        <v>May</v>
      </c>
      <c r="G342" s="3">
        <v>45053</v>
      </c>
      <c r="H342" s="4" t="s">
        <v>374</v>
      </c>
      <c r="I342" s="4" t="s">
        <v>4</v>
      </c>
      <c r="J342" s="4" t="str">
        <f>IF(K342&lt;30, "Young Adult","Adult")</f>
        <v>Adult</v>
      </c>
      <c r="K342" s="4">
        <v>31</v>
      </c>
      <c r="L342" s="4" t="s">
        <v>7</v>
      </c>
      <c r="M342" s="4">
        <v>4</v>
      </c>
      <c r="N342" s="5">
        <v>50</v>
      </c>
      <c r="O342">
        <f>(M342*N342)</f>
        <v>200</v>
      </c>
      <c r="P342">
        <f>O342*$S$3</f>
        <v>3</v>
      </c>
      <c r="Q342">
        <f>O342*$S$4</f>
        <v>4</v>
      </c>
    </row>
    <row r="343" spans="1:17">
      <c r="A343" s="2">
        <v>342</v>
      </c>
      <c r="B343" s="4">
        <f>DAY(G343)</f>
        <v>24</v>
      </c>
      <c r="C343">
        <f>MONTH(G343)</f>
        <v>10</v>
      </c>
      <c r="D343">
        <f>YEAR(G343)</f>
        <v>2023</v>
      </c>
      <c r="E343" t="str">
        <f>TEXT(G343,"DDDD")</f>
        <v>Tuesday</v>
      </c>
      <c r="F343" t="str">
        <f>TEXT(G343,"MMMM")</f>
        <v>October</v>
      </c>
      <c r="G343" s="3">
        <v>45223</v>
      </c>
      <c r="H343" s="4" t="s">
        <v>375</v>
      </c>
      <c r="I343" s="4" t="s">
        <v>3</v>
      </c>
      <c r="J343" s="4" t="str">
        <f>IF(K343&lt;30, "Young Adult","Adult")</f>
        <v>Adult</v>
      </c>
      <c r="K343" s="4">
        <v>43</v>
      </c>
      <c r="L343" s="4" t="s">
        <v>7</v>
      </c>
      <c r="M343" s="4">
        <v>4</v>
      </c>
      <c r="N343" s="5">
        <v>500</v>
      </c>
      <c r="O343">
        <f>(M343*N343)</f>
        <v>2000</v>
      </c>
      <c r="P343">
        <f>O343*$S$3</f>
        <v>30</v>
      </c>
      <c r="Q343">
        <f>O343*$S$4</f>
        <v>40</v>
      </c>
    </row>
    <row r="344" spans="1:17">
      <c r="A344" s="2">
        <v>343</v>
      </c>
      <c r="B344" s="4">
        <f>DAY(G344)</f>
        <v>1</v>
      </c>
      <c r="C344">
        <f>MONTH(G344)</f>
        <v>11</v>
      </c>
      <c r="D344">
        <f>YEAR(G344)</f>
        <v>2023</v>
      </c>
      <c r="E344" t="str">
        <f>TEXT(G344,"DDDD")</f>
        <v>Wednesday</v>
      </c>
      <c r="F344" t="str">
        <f>TEXT(G344,"MMMM")</f>
        <v>November</v>
      </c>
      <c r="G344" s="3">
        <v>45231</v>
      </c>
      <c r="H344" s="4" t="s">
        <v>376</v>
      </c>
      <c r="I344" s="4" t="s">
        <v>4</v>
      </c>
      <c r="J344" s="4" t="str">
        <f>IF(K344&lt;30, "Young Adult","Adult")</f>
        <v>Young Adult</v>
      </c>
      <c r="K344" s="4">
        <v>21</v>
      </c>
      <c r="L344" s="4" t="s">
        <v>8</v>
      </c>
      <c r="M344" s="4">
        <v>2</v>
      </c>
      <c r="N344" s="5">
        <v>25</v>
      </c>
      <c r="O344">
        <f>(M344*N344)</f>
        <v>50</v>
      </c>
      <c r="P344">
        <f>O344*$S$3</f>
        <v>0.75</v>
      </c>
      <c r="Q344">
        <f>O344*$S$4</f>
        <v>1</v>
      </c>
    </row>
    <row r="345" spans="1:17">
      <c r="A345" s="2">
        <v>344</v>
      </c>
      <c r="B345" s="4">
        <f>DAY(G345)</f>
        <v>21</v>
      </c>
      <c r="C345">
        <f>MONTH(G345)</f>
        <v>1</v>
      </c>
      <c r="D345">
        <f>YEAR(G345)</f>
        <v>2023</v>
      </c>
      <c r="E345" t="str">
        <f>TEXT(G345,"DDDD")</f>
        <v>Saturday</v>
      </c>
      <c r="F345" t="str">
        <f>TEXT(G345,"MMMM")</f>
        <v>January</v>
      </c>
      <c r="G345" s="3">
        <v>44947</v>
      </c>
      <c r="H345" s="4" t="s">
        <v>377</v>
      </c>
      <c r="I345" s="4" t="s">
        <v>3</v>
      </c>
      <c r="J345" s="4" t="str">
        <f>IF(K345&lt;30, "Young Adult","Adult")</f>
        <v>Adult</v>
      </c>
      <c r="K345" s="4">
        <v>42</v>
      </c>
      <c r="L345" s="4" t="s">
        <v>6</v>
      </c>
      <c r="M345" s="4">
        <v>1</v>
      </c>
      <c r="N345" s="5">
        <v>30</v>
      </c>
      <c r="O345">
        <f>(M345*N345)</f>
        <v>30</v>
      </c>
      <c r="P345">
        <f>O345*$S$3</f>
        <v>0.44999999999999996</v>
      </c>
      <c r="Q345">
        <f>O345*$S$4</f>
        <v>0.6</v>
      </c>
    </row>
    <row r="346" spans="1:17">
      <c r="A346" s="2">
        <v>345</v>
      </c>
      <c r="B346" s="4">
        <f>DAY(G346)</f>
        <v>14</v>
      </c>
      <c r="C346">
        <f>MONTH(G346)</f>
        <v>11</v>
      </c>
      <c r="D346">
        <f>YEAR(G346)</f>
        <v>2023</v>
      </c>
      <c r="E346" t="str">
        <f>TEXT(G346,"DDDD")</f>
        <v>Tuesday</v>
      </c>
      <c r="F346" t="str">
        <f>TEXT(G346,"MMMM")</f>
        <v>November</v>
      </c>
      <c r="G346" s="3">
        <v>45244</v>
      </c>
      <c r="H346" s="4" t="s">
        <v>378</v>
      </c>
      <c r="I346" s="4" t="s">
        <v>4</v>
      </c>
      <c r="J346" s="4" t="str">
        <f>IF(K346&lt;30, "Young Adult","Adult")</f>
        <v>Adult</v>
      </c>
      <c r="K346" s="4">
        <v>62</v>
      </c>
      <c r="L346" s="4" t="s">
        <v>8</v>
      </c>
      <c r="M346" s="4">
        <v>1</v>
      </c>
      <c r="N346" s="5">
        <v>30</v>
      </c>
      <c r="O346">
        <f>(M346*N346)</f>
        <v>30</v>
      </c>
      <c r="P346">
        <f>O346*$S$3</f>
        <v>0.44999999999999996</v>
      </c>
      <c r="Q346">
        <f>O346*$S$4</f>
        <v>0.6</v>
      </c>
    </row>
    <row r="347" spans="1:17">
      <c r="A347" s="2">
        <v>346</v>
      </c>
      <c r="B347" s="4">
        <f>DAY(G347)</f>
        <v>11</v>
      </c>
      <c r="C347">
        <f>MONTH(G347)</f>
        <v>2</v>
      </c>
      <c r="D347">
        <f>YEAR(G347)</f>
        <v>2023</v>
      </c>
      <c r="E347" t="str">
        <f>TEXT(G347,"DDDD")</f>
        <v>Saturday</v>
      </c>
      <c r="F347" t="str">
        <f>TEXT(G347,"MMMM")</f>
        <v>February</v>
      </c>
      <c r="G347" s="3">
        <v>44968</v>
      </c>
      <c r="H347" s="4" t="s">
        <v>379</v>
      </c>
      <c r="I347" s="4" t="s">
        <v>4</v>
      </c>
      <c r="J347" s="4" t="str">
        <f>IF(K347&lt;30, "Young Adult","Adult")</f>
        <v>Adult</v>
      </c>
      <c r="K347" s="4">
        <v>59</v>
      </c>
      <c r="L347" s="4" t="s">
        <v>7</v>
      </c>
      <c r="M347" s="4">
        <v>2</v>
      </c>
      <c r="N347" s="5">
        <v>500</v>
      </c>
      <c r="O347">
        <f>(M347*N347)</f>
        <v>1000</v>
      </c>
      <c r="P347">
        <f>O347*$S$3</f>
        <v>15</v>
      </c>
      <c r="Q347">
        <f>O347*$S$4</f>
        <v>20</v>
      </c>
    </row>
    <row r="348" spans="1:17">
      <c r="A348" s="2">
        <v>347</v>
      </c>
      <c r="B348" s="4">
        <f>DAY(G348)</f>
        <v>3</v>
      </c>
      <c r="C348">
        <f>MONTH(G348)</f>
        <v>8</v>
      </c>
      <c r="D348">
        <f>YEAR(G348)</f>
        <v>2023</v>
      </c>
      <c r="E348" t="str">
        <f>TEXT(G348,"DDDD")</f>
        <v>Thursday</v>
      </c>
      <c r="F348" t="str">
        <f>TEXT(G348,"MMMM")</f>
        <v>August</v>
      </c>
      <c r="G348" s="3">
        <v>45141</v>
      </c>
      <c r="H348" s="4" t="s">
        <v>380</v>
      </c>
      <c r="I348" s="4" t="s">
        <v>4</v>
      </c>
      <c r="J348" s="4" t="str">
        <f>IF(K348&lt;30, "Young Adult","Adult")</f>
        <v>Adult</v>
      </c>
      <c r="K348" s="4">
        <v>42</v>
      </c>
      <c r="L348" s="4" t="s">
        <v>8</v>
      </c>
      <c r="M348" s="4">
        <v>1</v>
      </c>
      <c r="N348" s="5">
        <v>25</v>
      </c>
      <c r="O348">
        <f>(M348*N348)</f>
        <v>25</v>
      </c>
      <c r="P348">
        <f>O348*$S$3</f>
        <v>0.375</v>
      </c>
      <c r="Q348">
        <f>O348*$S$4</f>
        <v>0.5</v>
      </c>
    </row>
    <row r="349" spans="1:17">
      <c r="A349" s="2">
        <v>348</v>
      </c>
      <c r="B349" s="4">
        <f>DAY(G349)</f>
        <v>3</v>
      </c>
      <c r="C349">
        <f>MONTH(G349)</f>
        <v>12</v>
      </c>
      <c r="D349">
        <f>YEAR(G349)</f>
        <v>2023</v>
      </c>
      <c r="E349" t="str">
        <f>TEXT(G349,"DDDD")</f>
        <v>Sunday</v>
      </c>
      <c r="F349" t="str">
        <f>TEXT(G349,"MMMM")</f>
        <v>December</v>
      </c>
      <c r="G349" s="3">
        <v>45263</v>
      </c>
      <c r="H349" s="4" t="s">
        <v>381</v>
      </c>
      <c r="I349" s="4" t="s">
        <v>3</v>
      </c>
      <c r="J349" s="4" t="str">
        <f>IF(K349&lt;30, "Young Adult","Adult")</f>
        <v>Adult</v>
      </c>
      <c r="K349" s="4">
        <v>35</v>
      </c>
      <c r="L349" s="4" t="s">
        <v>8</v>
      </c>
      <c r="M349" s="4">
        <v>2</v>
      </c>
      <c r="N349" s="5">
        <v>300</v>
      </c>
      <c r="O349">
        <f>(M349*N349)</f>
        <v>600</v>
      </c>
      <c r="P349">
        <f>O349*$S$3</f>
        <v>9</v>
      </c>
      <c r="Q349">
        <f>O349*$S$4</f>
        <v>12</v>
      </c>
    </row>
    <row r="350" spans="1:17">
      <c r="A350" s="2">
        <v>349</v>
      </c>
      <c r="B350" s="4">
        <f>DAY(G350)</f>
        <v>26</v>
      </c>
      <c r="C350">
        <f>MONTH(G350)</f>
        <v>10</v>
      </c>
      <c r="D350">
        <f>YEAR(G350)</f>
        <v>2023</v>
      </c>
      <c r="E350" t="str">
        <f>TEXT(G350,"DDDD")</f>
        <v>Thursday</v>
      </c>
      <c r="F350" t="str">
        <f>TEXT(G350,"MMMM")</f>
        <v>October</v>
      </c>
      <c r="G350" s="3">
        <v>45225</v>
      </c>
      <c r="H350" s="4" t="s">
        <v>382</v>
      </c>
      <c r="I350" s="4" t="s">
        <v>3</v>
      </c>
      <c r="J350" s="4" t="str">
        <f>IF(K350&lt;30, "Young Adult","Adult")</f>
        <v>Adult</v>
      </c>
      <c r="K350" s="4">
        <v>57</v>
      </c>
      <c r="L350" s="4" t="s">
        <v>6</v>
      </c>
      <c r="M350" s="4">
        <v>1</v>
      </c>
      <c r="N350" s="5">
        <v>50</v>
      </c>
      <c r="O350">
        <f>(M350*N350)</f>
        <v>50</v>
      </c>
      <c r="P350">
        <f>O350*$S$3</f>
        <v>0.75</v>
      </c>
      <c r="Q350">
        <f>O350*$S$4</f>
        <v>1</v>
      </c>
    </row>
    <row r="351" spans="1:17">
      <c r="A351" s="2">
        <v>350</v>
      </c>
      <c r="B351" s="4">
        <f>DAY(G351)</f>
        <v>17</v>
      </c>
      <c r="C351">
        <f>MONTH(G351)</f>
        <v>10</v>
      </c>
      <c r="D351">
        <f>YEAR(G351)</f>
        <v>2023</v>
      </c>
      <c r="E351" t="str">
        <f>TEXT(G351,"DDDD")</f>
        <v>Tuesday</v>
      </c>
      <c r="F351" t="str">
        <f>TEXT(G351,"MMMM")</f>
        <v>October</v>
      </c>
      <c r="G351" s="3">
        <v>45216</v>
      </c>
      <c r="H351" s="4" t="s">
        <v>383</v>
      </c>
      <c r="I351" s="4" t="s">
        <v>4</v>
      </c>
      <c r="J351" s="4" t="str">
        <f>IF(K351&lt;30, "Young Adult","Adult")</f>
        <v>Young Adult</v>
      </c>
      <c r="K351" s="4">
        <v>25</v>
      </c>
      <c r="L351" s="4" t="s">
        <v>6</v>
      </c>
      <c r="M351" s="4">
        <v>3</v>
      </c>
      <c r="N351" s="5">
        <v>25</v>
      </c>
      <c r="O351">
        <f>(M351*N351)</f>
        <v>75</v>
      </c>
      <c r="P351">
        <f>O351*$S$3</f>
        <v>1.125</v>
      </c>
      <c r="Q351">
        <f>O351*$S$4</f>
        <v>1.5</v>
      </c>
    </row>
    <row r="352" spans="1:17">
      <c r="A352" s="2">
        <v>351</v>
      </c>
      <c r="B352" s="4">
        <f>DAY(G352)</f>
        <v>25</v>
      </c>
      <c r="C352">
        <f>MONTH(G352)</f>
        <v>9</v>
      </c>
      <c r="D352">
        <f>YEAR(G352)</f>
        <v>2023</v>
      </c>
      <c r="E352" t="str">
        <f>TEXT(G352,"DDDD")</f>
        <v>Monday</v>
      </c>
      <c r="F352" t="str">
        <f>TEXT(G352,"MMMM")</f>
        <v>September</v>
      </c>
      <c r="G352" s="3">
        <v>45194</v>
      </c>
      <c r="H352" s="4" t="s">
        <v>384</v>
      </c>
      <c r="I352" s="4" t="s">
        <v>3</v>
      </c>
      <c r="J352" s="4" t="str">
        <f>IF(K352&lt;30, "Young Adult","Adult")</f>
        <v>Adult</v>
      </c>
      <c r="K352" s="4">
        <v>56</v>
      </c>
      <c r="L352" s="4" t="s">
        <v>7</v>
      </c>
      <c r="M352" s="4">
        <v>3</v>
      </c>
      <c r="N352" s="5">
        <v>30</v>
      </c>
      <c r="O352">
        <f>(M352*N352)</f>
        <v>90</v>
      </c>
      <c r="P352">
        <f>O352*$S$3</f>
        <v>1.3499999999999999</v>
      </c>
      <c r="Q352">
        <f>O352*$S$4</f>
        <v>1.8</v>
      </c>
    </row>
    <row r="353" spans="1:17">
      <c r="A353" s="2">
        <v>352</v>
      </c>
      <c r="B353" s="4">
        <f>DAY(G353)</f>
        <v>11</v>
      </c>
      <c r="C353">
        <f>MONTH(G353)</f>
        <v>6</v>
      </c>
      <c r="D353">
        <f>YEAR(G353)</f>
        <v>2023</v>
      </c>
      <c r="E353" t="str">
        <f>TEXT(G353,"DDDD")</f>
        <v>Sunday</v>
      </c>
      <c r="F353" t="str">
        <f>TEXT(G353,"MMMM")</f>
        <v>June</v>
      </c>
      <c r="G353" s="3">
        <v>45088</v>
      </c>
      <c r="H353" s="4" t="s">
        <v>385</v>
      </c>
      <c r="I353" s="4" t="s">
        <v>4</v>
      </c>
      <c r="J353" s="4" t="str">
        <f>IF(K353&lt;30, "Young Adult","Adult")</f>
        <v>Adult</v>
      </c>
      <c r="K353" s="4">
        <v>57</v>
      </c>
      <c r="L353" s="4" t="s">
        <v>8</v>
      </c>
      <c r="M353" s="4">
        <v>2</v>
      </c>
      <c r="N353" s="5">
        <v>500</v>
      </c>
      <c r="O353">
        <f>(M353*N353)</f>
        <v>1000</v>
      </c>
      <c r="P353">
        <f>O353*$S$3</f>
        <v>15</v>
      </c>
      <c r="Q353">
        <f>O353*$S$4</f>
        <v>20</v>
      </c>
    </row>
    <row r="354" spans="1:17">
      <c r="A354" s="2">
        <v>353</v>
      </c>
      <c r="B354" s="4">
        <f>DAY(G354)</f>
        <v>14</v>
      </c>
      <c r="C354">
        <f>MONTH(G354)</f>
        <v>5</v>
      </c>
      <c r="D354">
        <f>YEAR(G354)</f>
        <v>2023</v>
      </c>
      <c r="E354" t="str">
        <f>TEXT(G354,"DDDD")</f>
        <v>Sunday</v>
      </c>
      <c r="F354" t="str">
        <f>TEXT(G354,"MMMM")</f>
        <v>May</v>
      </c>
      <c r="G354" s="3">
        <v>45060</v>
      </c>
      <c r="H354" s="4" t="s">
        <v>386</v>
      </c>
      <c r="I354" s="4" t="s">
        <v>4</v>
      </c>
      <c r="J354" s="4" t="str">
        <f>IF(K354&lt;30, "Young Adult","Adult")</f>
        <v>Adult</v>
      </c>
      <c r="K354" s="4">
        <v>31</v>
      </c>
      <c r="L354" s="4" t="s">
        <v>8</v>
      </c>
      <c r="M354" s="4">
        <v>1</v>
      </c>
      <c r="N354" s="5">
        <v>500</v>
      </c>
      <c r="O354">
        <f>(M354*N354)</f>
        <v>500</v>
      </c>
      <c r="P354">
        <f>O354*$S$3</f>
        <v>7.5</v>
      </c>
      <c r="Q354">
        <f>O354*$S$4</f>
        <v>10</v>
      </c>
    </row>
    <row r="355" spans="1:17">
      <c r="A355" s="2">
        <v>354</v>
      </c>
      <c r="B355" s="4">
        <f>DAY(G355)</f>
        <v>15</v>
      </c>
      <c r="C355">
        <f>MONTH(G355)</f>
        <v>4</v>
      </c>
      <c r="D355">
        <f>YEAR(G355)</f>
        <v>2023</v>
      </c>
      <c r="E355" t="str">
        <f>TEXT(G355,"DDDD")</f>
        <v>Saturday</v>
      </c>
      <c r="F355" t="str">
        <f>TEXT(G355,"MMMM")</f>
        <v>April</v>
      </c>
      <c r="G355" s="3">
        <v>45031</v>
      </c>
      <c r="H355" s="4" t="s">
        <v>387</v>
      </c>
      <c r="I355" s="4" t="s">
        <v>3</v>
      </c>
      <c r="J355" s="4" t="str">
        <f>IF(K355&lt;30, "Young Adult","Adult")</f>
        <v>Adult</v>
      </c>
      <c r="K355" s="4">
        <v>49</v>
      </c>
      <c r="L355" s="4" t="s">
        <v>6</v>
      </c>
      <c r="M355" s="4">
        <v>4</v>
      </c>
      <c r="N355" s="5">
        <v>50</v>
      </c>
      <c r="O355">
        <f>(M355*N355)</f>
        <v>200</v>
      </c>
      <c r="P355">
        <f>O355*$S$3</f>
        <v>3</v>
      </c>
      <c r="Q355">
        <f>O355*$S$4</f>
        <v>4</v>
      </c>
    </row>
    <row r="356" spans="1:17">
      <c r="A356" s="2">
        <v>355</v>
      </c>
      <c r="B356" s="4">
        <f>DAY(G356)</f>
        <v>9</v>
      </c>
      <c r="C356">
        <f>MONTH(G356)</f>
        <v>12</v>
      </c>
      <c r="D356">
        <f>YEAR(G356)</f>
        <v>2023</v>
      </c>
      <c r="E356" t="str">
        <f>TEXT(G356,"DDDD")</f>
        <v>Saturday</v>
      </c>
      <c r="F356" t="str">
        <f>TEXT(G356,"MMMM")</f>
        <v>December</v>
      </c>
      <c r="G356" s="3">
        <v>45269</v>
      </c>
      <c r="H356" s="4" t="s">
        <v>388</v>
      </c>
      <c r="I356" s="4" t="s">
        <v>3</v>
      </c>
      <c r="J356" s="4" t="str">
        <f>IF(K356&lt;30, "Young Adult","Adult")</f>
        <v>Adult</v>
      </c>
      <c r="K356" s="4">
        <v>55</v>
      </c>
      <c r="L356" s="4" t="s">
        <v>8</v>
      </c>
      <c r="M356" s="4">
        <v>1</v>
      </c>
      <c r="N356" s="5">
        <v>500</v>
      </c>
      <c r="O356">
        <f>(M356*N356)</f>
        <v>500</v>
      </c>
      <c r="P356">
        <f>O356*$S$3</f>
        <v>7.5</v>
      </c>
      <c r="Q356">
        <f>O356*$S$4</f>
        <v>10</v>
      </c>
    </row>
    <row r="357" spans="1:17">
      <c r="A357" s="2">
        <v>356</v>
      </c>
      <c r="B357" s="4">
        <f>DAY(G357)</f>
        <v>10</v>
      </c>
      <c r="C357">
        <f>MONTH(G357)</f>
        <v>6</v>
      </c>
      <c r="D357">
        <f>YEAR(G357)</f>
        <v>2023</v>
      </c>
      <c r="E357" t="str">
        <f>TEXT(G357,"DDDD")</f>
        <v>Saturday</v>
      </c>
      <c r="F357" t="str">
        <f>TEXT(G357,"MMMM")</f>
        <v>June</v>
      </c>
      <c r="G357" s="3">
        <v>45087</v>
      </c>
      <c r="H357" s="4" t="s">
        <v>389</v>
      </c>
      <c r="I357" s="4" t="s">
        <v>4</v>
      </c>
      <c r="J357" s="4" t="str">
        <f>IF(K357&lt;30, "Young Adult","Adult")</f>
        <v>Adult</v>
      </c>
      <c r="K357" s="4">
        <v>50</v>
      </c>
      <c r="L357" s="4" t="s">
        <v>8</v>
      </c>
      <c r="M357" s="4">
        <v>3</v>
      </c>
      <c r="N357" s="5">
        <v>500</v>
      </c>
      <c r="O357">
        <f>(M357*N357)</f>
        <v>1500</v>
      </c>
      <c r="P357">
        <f>O357*$S$3</f>
        <v>22.5</v>
      </c>
      <c r="Q357">
        <f>O357*$S$4</f>
        <v>30</v>
      </c>
    </row>
    <row r="358" spans="1:17">
      <c r="A358" s="2">
        <v>357</v>
      </c>
      <c r="B358" s="4">
        <f>DAY(G358)</f>
        <v>3</v>
      </c>
      <c r="C358">
        <f>MONTH(G358)</f>
        <v>5</v>
      </c>
      <c r="D358">
        <f>YEAR(G358)</f>
        <v>2023</v>
      </c>
      <c r="E358" t="str">
        <f>TEXT(G358,"DDDD")</f>
        <v>Wednesday</v>
      </c>
      <c r="F358" t="str">
        <f>TEXT(G358,"MMMM")</f>
        <v>May</v>
      </c>
      <c r="G358" s="3">
        <v>45049</v>
      </c>
      <c r="H358" s="4" t="s">
        <v>390</v>
      </c>
      <c r="I358" s="4" t="s">
        <v>3</v>
      </c>
      <c r="J358" s="4" t="str">
        <f>IF(K358&lt;30, "Young Adult","Adult")</f>
        <v>Adult</v>
      </c>
      <c r="K358" s="4">
        <v>40</v>
      </c>
      <c r="L358" s="4" t="s">
        <v>8</v>
      </c>
      <c r="M358" s="4">
        <v>3</v>
      </c>
      <c r="N358" s="5">
        <v>25</v>
      </c>
      <c r="O358">
        <f>(M358*N358)</f>
        <v>75</v>
      </c>
      <c r="P358">
        <f>O358*$S$3</f>
        <v>1.125</v>
      </c>
      <c r="Q358">
        <f>O358*$S$4</f>
        <v>1.5</v>
      </c>
    </row>
    <row r="359" spans="1:17">
      <c r="A359" s="2">
        <v>358</v>
      </c>
      <c r="B359" s="4">
        <f>DAY(G359)</f>
        <v>16</v>
      </c>
      <c r="C359">
        <f>MONTH(G359)</f>
        <v>5</v>
      </c>
      <c r="D359">
        <f>YEAR(G359)</f>
        <v>2023</v>
      </c>
      <c r="E359" t="str">
        <f>TEXT(G359,"DDDD")</f>
        <v>Tuesday</v>
      </c>
      <c r="F359" t="str">
        <f>TEXT(G359,"MMMM")</f>
        <v>May</v>
      </c>
      <c r="G359" s="3">
        <v>45062</v>
      </c>
      <c r="H359" s="4" t="s">
        <v>391</v>
      </c>
      <c r="I359" s="4" t="s">
        <v>3</v>
      </c>
      <c r="J359" s="4" t="str">
        <f>IF(K359&lt;30, "Young Adult","Adult")</f>
        <v>Adult</v>
      </c>
      <c r="K359" s="4">
        <v>32</v>
      </c>
      <c r="L359" s="4" t="s">
        <v>6</v>
      </c>
      <c r="M359" s="4">
        <v>1</v>
      </c>
      <c r="N359" s="5">
        <v>300</v>
      </c>
      <c r="O359">
        <f>(M359*N359)</f>
        <v>300</v>
      </c>
      <c r="P359">
        <f>O359*$S$3</f>
        <v>4.5</v>
      </c>
      <c r="Q359">
        <f>O359*$S$4</f>
        <v>6</v>
      </c>
    </row>
    <row r="360" spans="1:17">
      <c r="A360" s="2">
        <v>359</v>
      </c>
      <c r="B360" s="4">
        <f>DAY(G360)</f>
        <v>22</v>
      </c>
      <c r="C360">
        <f>MONTH(G360)</f>
        <v>7</v>
      </c>
      <c r="D360">
        <f>YEAR(G360)</f>
        <v>2023</v>
      </c>
      <c r="E360" t="str">
        <f>TEXT(G360,"DDDD")</f>
        <v>Saturday</v>
      </c>
      <c r="F360" t="str">
        <f>TEXT(G360,"MMMM")</f>
        <v>July</v>
      </c>
      <c r="G360" s="3">
        <v>45129</v>
      </c>
      <c r="H360" s="4" t="s">
        <v>392</v>
      </c>
      <c r="I360" s="4" t="s">
        <v>4</v>
      </c>
      <c r="J360" s="4" t="str">
        <f>IF(K360&lt;30, "Young Adult","Adult")</f>
        <v>Adult</v>
      </c>
      <c r="K360" s="4">
        <v>50</v>
      </c>
      <c r="L360" s="4" t="s">
        <v>7</v>
      </c>
      <c r="M360" s="4">
        <v>1</v>
      </c>
      <c r="N360" s="5">
        <v>50</v>
      </c>
      <c r="O360">
        <f>(M360*N360)</f>
        <v>50</v>
      </c>
      <c r="P360">
        <f>O360*$S$3</f>
        <v>0.75</v>
      </c>
      <c r="Q360">
        <f>O360*$S$4</f>
        <v>1</v>
      </c>
    </row>
    <row r="361" spans="1:17">
      <c r="A361" s="2">
        <v>360</v>
      </c>
      <c r="B361" s="4">
        <f>DAY(G361)</f>
        <v>9</v>
      </c>
      <c r="C361">
        <f>MONTH(G361)</f>
        <v>3</v>
      </c>
      <c r="D361">
        <f>YEAR(G361)</f>
        <v>2023</v>
      </c>
      <c r="E361" t="str">
        <f>TEXT(G361,"DDDD")</f>
        <v>Thursday</v>
      </c>
      <c r="F361" t="str">
        <f>TEXT(G361,"MMMM")</f>
        <v>March</v>
      </c>
      <c r="G361" s="3">
        <v>44994</v>
      </c>
      <c r="H361" s="4" t="s">
        <v>393</v>
      </c>
      <c r="I361" s="4" t="s">
        <v>4</v>
      </c>
      <c r="J361" s="4" t="str">
        <f>IF(K361&lt;30, "Young Adult","Adult")</f>
        <v>Adult</v>
      </c>
      <c r="K361" s="4">
        <v>42</v>
      </c>
      <c r="L361" s="4" t="s">
        <v>7</v>
      </c>
      <c r="M361" s="4">
        <v>4</v>
      </c>
      <c r="N361" s="5">
        <v>25</v>
      </c>
      <c r="O361">
        <f>(M361*N361)</f>
        <v>100</v>
      </c>
      <c r="P361">
        <f>O361*$S$3</f>
        <v>1.5</v>
      </c>
      <c r="Q361">
        <f>O361*$S$4</f>
        <v>2</v>
      </c>
    </row>
    <row r="362" spans="1:17">
      <c r="A362" s="2">
        <v>361</v>
      </c>
      <c r="B362" s="4">
        <f>DAY(G362)</f>
        <v>10</v>
      </c>
      <c r="C362">
        <f>MONTH(G362)</f>
        <v>12</v>
      </c>
      <c r="D362">
        <f>YEAR(G362)</f>
        <v>2023</v>
      </c>
      <c r="E362" t="str">
        <f>TEXT(G362,"DDDD")</f>
        <v>Sunday</v>
      </c>
      <c r="F362" t="str">
        <f>TEXT(G362,"MMMM")</f>
        <v>December</v>
      </c>
      <c r="G362" s="3">
        <v>45270</v>
      </c>
      <c r="H362" s="4" t="s">
        <v>394</v>
      </c>
      <c r="I362" s="4" t="s">
        <v>3</v>
      </c>
      <c r="J362" s="4" t="str">
        <f>IF(K362&lt;30, "Young Adult","Adult")</f>
        <v>Adult</v>
      </c>
      <c r="K362" s="4">
        <v>34</v>
      </c>
      <c r="L362" s="4" t="s">
        <v>8</v>
      </c>
      <c r="M362" s="4">
        <v>4</v>
      </c>
      <c r="N362" s="5">
        <v>300</v>
      </c>
      <c r="O362">
        <f>(M362*N362)</f>
        <v>1200</v>
      </c>
      <c r="P362">
        <f>O362*$S$3</f>
        <v>18</v>
      </c>
      <c r="Q362">
        <f>O362*$S$4</f>
        <v>24</v>
      </c>
    </row>
    <row r="363" spans="1:17">
      <c r="A363" s="2">
        <v>362</v>
      </c>
      <c r="B363" s="4">
        <f>DAY(G363)</f>
        <v>27</v>
      </c>
      <c r="C363">
        <f>MONTH(G363)</f>
        <v>11</v>
      </c>
      <c r="D363">
        <f>YEAR(G363)</f>
        <v>2023</v>
      </c>
      <c r="E363" t="str">
        <f>TEXT(G363,"DDDD")</f>
        <v>Monday</v>
      </c>
      <c r="F363" t="str">
        <f>TEXT(G363,"MMMM")</f>
        <v>November</v>
      </c>
      <c r="G363" s="3">
        <v>45257</v>
      </c>
      <c r="H363" s="4" t="s">
        <v>395</v>
      </c>
      <c r="I363" s="4" t="s">
        <v>4</v>
      </c>
      <c r="J363" s="4" t="str">
        <f>IF(K363&lt;30, "Young Adult","Adult")</f>
        <v>Adult</v>
      </c>
      <c r="K363" s="4">
        <v>50</v>
      </c>
      <c r="L363" s="4" t="s">
        <v>7</v>
      </c>
      <c r="M363" s="4">
        <v>1</v>
      </c>
      <c r="N363" s="5">
        <v>25</v>
      </c>
      <c r="O363">
        <f>(M363*N363)</f>
        <v>25</v>
      </c>
      <c r="P363">
        <f>O363*$S$3</f>
        <v>0.375</v>
      </c>
      <c r="Q363">
        <f>O363*$S$4</f>
        <v>0.5</v>
      </c>
    </row>
    <row r="364" spans="1:17">
      <c r="A364" s="2">
        <v>363</v>
      </c>
      <c r="B364" s="4">
        <f>DAY(G364)</f>
        <v>3</v>
      </c>
      <c r="C364">
        <f>MONTH(G364)</f>
        <v>6</v>
      </c>
      <c r="D364">
        <f>YEAR(G364)</f>
        <v>2023</v>
      </c>
      <c r="E364" t="str">
        <f>TEXT(G364,"DDDD")</f>
        <v>Saturday</v>
      </c>
      <c r="F364" t="str">
        <f>TEXT(G364,"MMMM")</f>
        <v>June</v>
      </c>
      <c r="G364" s="3">
        <v>45080</v>
      </c>
      <c r="H364" s="4" t="s">
        <v>396</v>
      </c>
      <c r="I364" s="4" t="s">
        <v>4</v>
      </c>
      <c r="J364" s="4" t="str">
        <f>IF(K364&lt;30, "Young Adult","Adult")</f>
        <v>Adult</v>
      </c>
      <c r="K364" s="4">
        <v>64</v>
      </c>
      <c r="L364" s="4" t="s">
        <v>6</v>
      </c>
      <c r="M364" s="4">
        <v>1</v>
      </c>
      <c r="N364" s="5">
        <v>25</v>
      </c>
      <c r="O364">
        <f>(M364*N364)</f>
        <v>25</v>
      </c>
      <c r="P364">
        <f>O364*$S$3</f>
        <v>0.375</v>
      </c>
      <c r="Q364">
        <f>O364*$S$4</f>
        <v>0.5</v>
      </c>
    </row>
    <row r="365" spans="1:17">
      <c r="A365" s="2">
        <v>364</v>
      </c>
      <c r="B365" s="4">
        <f>DAY(G365)</f>
        <v>23</v>
      </c>
      <c r="C365">
        <f>MONTH(G365)</f>
        <v>8</v>
      </c>
      <c r="D365">
        <f>YEAR(G365)</f>
        <v>2023</v>
      </c>
      <c r="E365" t="str">
        <f>TEXT(G365,"DDDD")</f>
        <v>Wednesday</v>
      </c>
      <c r="F365" t="str">
        <f>TEXT(G365,"MMMM")</f>
        <v>August</v>
      </c>
      <c r="G365" s="3">
        <v>45161</v>
      </c>
      <c r="H365" s="4" t="s">
        <v>397</v>
      </c>
      <c r="I365" s="4" t="s">
        <v>3</v>
      </c>
      <c r="J365" s="4" t="str">
        <f>IF(K365&lt;30, "Young Adult","Adult")</f>
        <v>Young Adult</v>
      </c>
      <c r="K365" s="4">
        <v>19</v>
      </c>
      <c r="L365" s="4" t="s">
        <v>6</v>
      </c>
      <c r="M365" s="4">
        <v>1</v>
      </c>
      <c r="N365" s="5">
        <v>500</v>
      </c>
      <c r="O365">
        <f>(M365*N365)</f>
        <v>500</v>
      </c>
      <c r="P365">
        <f>O365*$S$3</f>
        <v>7.5</v>
      </c>
      <c r="Q365">
        <f>O365*$S$4</f>
        <v>10</v>
      </c>
    </row>
    <row r="366" spans="1:17">
      <c r="A366" s="2">
        <v>365</v>
      </c>
      <c r="B366" s="4">
        <f>DAY(G366)</f>
        <v>11</v>
      </c>
      <c r="C366">
        <f>MONTH(G366)</f>
        <v>6</v>
      </c>
      <c r="D366">
        <f>YEAR(G366)</f>
        <v>2023</v>
      </c>
      <c r="E366" t="str">
        <f>TEXT(G366,"DDDD")</f>
        <v>Sunday</v>
      </c>
      <c r="F366" t="str">
        <f>TEXT(G366,"MMMM")</f>
        <v>June</v>
      </c>
      <c r="G366" s="3">
        <v>45088</v>
      </c>
      <c r="H366" s="4" t="s">
        <v>398</v>
      </c>
      <c r="I366" s="4" t="s">
        <v>4</v>
      </c>
      <c r="J366" s="4" t="str">
        <f>IF(K366&lt;30, "Young Adult","Adult")</f>
        <v>Adult</v>
      </c>
      <c r="K366" s="4">
        <v>31</v>
      </c>
      <c r="L366" s="4" t="s">
        <v>7</v>
      </c>
      <c r="M366" s="4">
        <v>1</v>
      </c>
      <c r="N366" s="5">
        <v>300</v>
      </c>
      <c r="O366">
        <f>(M366*N366)</f>
        <v>300</v>
      </c>
      <c r="P366">
        <f>O366*$S$3</f>
        <v>4.5</v>
      </c>
      <c r="Q366">
        <f>O366*$S$4</f>
        <v>6</v>
      </c>
    </row>
    <row r="367" spans="1:17">
      <c r="A367" s="2">
        <v>366</v>
      </c>
      <c r="B367" s="4">
        <f>DAY(G367)</f>
        <v>7</v>
      </c>
      <c r="C367">
        <f>MONTH(G367)</f>
        <v>2</v>
      </c>
      <c r="D367">
        <f>YEAR(G367)</f>
        <v>2023</v>
      </c>
      <c r="E367" t="str">
        <f>TEXT(G367,"DDDD")</f>
        <v>Tuesday</v>
      </c>
      <c r="F367" t="str">
        <f>TEXT(G367,"MMMM")</f>
        <v>February</v>
      </c>
      <c r="G367" s="3">
        <v>44964</v>
      </c>
      <c r="H367" s="4" t="s">
        <v>399</v>
      </c>
      <c r="I367" s="4" t="s">
        <v>4</v>
      </c>
      <c r="J367" s="4" t="str">
        <f>IF(K367&lt;30, "Young Adult","Adult")</f>
        <v>Adult</v>
      </c>
      <c r="K367" s="4">
        <v>57</v>
      </c>
      <c r="L367" s="4" t="s">
        <v>7</v>
      </c>
      <c r="M367" s="4">
        <v>2</v>
      </c>
      <c r="N367" s="5">
        <v>50</v>
      </c>
      <c r="O367">
        <f>(M367*N367)</f>
        <v>100</v>
      </c>
      <c r="P367">
        <f>O367*$S$3</f>
        <v>1.5</v>
      </c>
      <c r="Q367">
        <f>O367*$S$4</f>
        <v>2</v>
      </c>
    </row>
    <row r="368" spans="1:17">
      <c r="A368" s="2">
        <v>367</v>
      </c>
      <c r="B368" s="4">
        <f>DAY(G368)</f>
        <v>5</v>
      </c>
      <c r="C368">
        <f>MONTH(G368)</f>
        <v>1</v>
      </c>
      <c r="D368">
        <f>YEAR(G368)</f>
        <v>2023</v>
      </c>
      <c r="E368" t="str">
        <f>TEXT(G368,"DDDD")</f>
        <v>Thursday</v>
      </c>
      <c r="F368" t="str">
        <f>TEXT(G368,"MMMM")</f>
        <v>January</v>
      </c>
      <c r="G368" s="3">
        <v>44931</v>
      </c>
      <c r="H368" s="4" t="s">
        <v>400</v>
      </c>
      <c r="I368" s="4" t="s">
        <v>3</v>
      </c>
      <c r="J368" s="4" t="str">
        <f>IF(K368&lt;30, "Young Adult","Adult")</f>
        <v>Adult</v>
      </c>
      <c r="K368" s="4">
        <v>57</v>
      </c>
      <c r="L368" s="4" t="s">
        <v>8</v>
      </c>
      <c r="M368" s="4">
        <v>1</v>
      </c>
      <c r="N368" s="5">
        <v>50</v>
      </c>
      <c r="O368">
        <f>(M368*N368)</f>
        <v>50</v>
      </c>
      <c r="P368">
        <f>O368*$S$3</f>
        <v>0.75</v>
      </c>
      <c r="Q368">
        <f>O368*$S$4</f>
        <v>1</v>
      </c>
    </row>
    <row r="369" spans="1:17">
      <c r="A369" s="2">
        <v>368</v>
      </c>
      <c r="B369" s="4">
        <f>DAY(G369)</f>
        <v>23</v>
      </c>
      <c r="C369">
        <f>MONTH(G369)</f>
        <v>8</v>
      </c>
      <c r="D369">
        <f>YEAR(G369)</f>
        <v>2023</v>
      </c>
      <c r="E369" t="str">
        <f>TEXT(G369,"DDDD")</f>
        <v>Wednesday</v>
      </c>
      <c r="F369" t="str">
        <f>TEXT(G369,"MMMM")</f>
        <v>August</v>
      </c>
      <c r="G369" s="3">
        <v>45161</v>
      </c>
      <c r="H369" s="4" t="s">
        <v>401</v>
      </c>
      <c r="I369" s="4" t="s">
        <v>3</v>
      </c>
      <c r="J369" s="4" t="str">
        <f>IF(K369&lt;30, "Young Adult","Adult")</f>
        <v>Adult</v>
      </c>
      <c r="K369" s="4">
        <v>56</v>
      </c>
      <c r="L369" s="4" t="s">
        <v>7</v>
      </c>
      <c r="M369" s="4">
        <v>4</v>
      </c>
      <c r="N369" s="5">
        <v>300</v>
      </c>
      <c r="O369">
        <f>(M369*N369)</f>
        <v>1200</v>
      </c>
      <c r="P369">
        <f>O369*$S$3</f>
        <v>18</v>
      </c>
      <c r="Q369">
        <f>O369*$S$4</f>
        <v>24</v>
      </c>
    </row>
    <row r="370" spans="1:17">
      <c r="A370" s="2">
        <v>369</v>
      </c>
      <c r="B370" s="4">
        <f>DAY(G370)</f>
        <v>15</v>
      </c>
      <c r="C370">
        <f>MONTH(G370)</f>
        <v>11</v>
      </c>
      <c r="D370">
        <f>YEAR(G370)</f>
        <v>2023</v>
      </c>
      <c r="E370" t="str">
        <f>TEXT(G370,"DDDD")</f>
        <v>Wednesday</v>
      </c>
      <c r="F370" t="str">
        <f>TEXT(G370,"MMMM")</f>
        <v>November</v>
      </c>
      <c r="G370" s="3">
        <v>45245</v>
      </c>
      <c r="H370" s="4" t="s">
        <v>402</v>
      </c>
      <c r="I370" s="4" t="s">
        <v>4</v>
      </c>
      <c r="J370" s="4" t="str">
        <f>IF(K370&lt;30, "Young Adult","Adult")</f>
        <v>Young Adult</v>
      </c>
      <c r="K370" s="4">
        <v>23</v>
      </c>
      <c r="L370" s="4" t="s">
        <v>8</v>
      </c>
      <c r="M370" s="4">
        <v>3</v>
      </c>
      <c r="N370" s="5">
        <v>500</v>
      </c>
      <c r="O370">
        <f>(M370*N370)</f>
        <v>1500</v>
      </c>
      <c r="P370">
        <f>O370*$S$3</f>
        <v>22.5</v>
      </c>
      <c r="Q370">
        <f>O370*$S$4</f>
        <v>30</v>
      </c>
    </row>
    <row r="371" spans="1:17">
      <c r="A371" s="2">
        <v>370</v>
      </c>
      <c r="B371" s="4">
        <f>DAY(G371)</f>
        <v>16</v>
      </c>
      <c r="C371">
        <f>MONTH(G371)</f>
        <v>10</v>
      </c>
      <c r="D371">
        <f>YEAR(G371)</f>
        <v>2023</v>
      </c>
      <c r="E371" t="str">
        <f>TEXT(G371,"DDDD")</f>
        <v>Monday</v>
      </c>
      <c r="F371" t="str">
        <f>TEXT(G371,"MMMM")</f>
        <v>October</v>
      </c>
      <c r="G371" s="3">
        <v>45215</v>
      </c>
      <c r="H371" s="4" t="s">
        <v>403</v>
      </c>
      <c r="I371" s="4" t="s">
        <v>4</v>
      </c>
      <c r="J371" s="4" t="str">
        <f>IF(K371&lt;30, "Young Adult","Adult")</f>
        <v>Young Adult</v>
      </c>
      <c r="K371" s="4">
        <v>23</v>
      </c>
      <c r="L371" s="4" t="s">
        <v>8</v>
      </c>
      <c r="M371" s="4">
        <v>2</v>
      </c>
      <c r="N371" s="5">
        <v>30</v>
      </c>
      <c r="O371">
        <f>(M371*N371)</f>
        <v>60</v>
      </c>
      <c r="P371">
        <f>O371*$S$3</f>
        <v>0.89999999999999991</v>
      </c>
      <c r="Q371">
        <f>O371*$S$4</f>
        <v>1.2</v>
      </c>
    </row>
    <row r="372" spans="1:17">
      <c r="A372" s="2">
        <v>371</v>
      </c>
      <c r="B372" s="4">
        <f>DAY(G372)</f>
        <v>21</v>
      </c>
      <c r="C372">
        <f>MONTH(G372)</f>
        <v>2</v>
      </c>
      <c r="D372">
        <f>YEAR(G372)</f>
        <v>2023</v>
      </c>
      <c r="E372" t="str">
        <f>TEXT(G372,"DDDD")</f>
        <v>Tuesday</v>
      </c>
      <c r="F372" t="str">
        <f>TEXT(G372,"MMMM")</f>
        <v>February</v>
      </c>
      <c r="G372" s="3">
        <v>44978</v>
      </c>
      <c r="H372" s="4" t="s">
        <v>404</v>
      </c>
      <c r="I372" s="4" t="s">
        <v>3</v>
      </c>
      <c r="J372" s="4" t="str">
        <f>IF(K372&lt;30, "Young Adult","Adult")</f>
        <v>Young Adult</v>
      </c>
      <c r="K372" s="4">
        <v>20</v>
      </c>
      <c r="L372" s="4" t="s">
        <v>6</v>
      </c>
      <c r="M372" s="4">
        <v>1</v>
      </c>
      <c r="N372" s="5">
        <v>25</v>
      </c>
      <c r="O372">
        <f>(M372*N372)</f>
        <v>25</v>
      </c>
      <c r="P372">
        <f>O372*$S$3</f>
        <v>0.375</v>
      </c>
      <c r="Q372">
        <f>O372*$S$4</f>
        <v>0.5</v>
      </c>
    </row>
    <row r="373" spans="1:17">
      <c r="A373" s="2">
        <v>372</v>
      </c>
      <c r="B373" s="4">
        <f>DAY(G373)</f>
        <v>7</v>
      </c>
      <c r="C373">
        <f>MONTH(G373)</f>
        <v>2</v>
      </c>
      <c r="D373">
        <f>YEAR(G373)</f>
        <v>2023</v>
      </c>
      <c r="E373" t="str">
        <f>TEXT(G373,"DDDD")</f>
        <v>Tuesday</v>
      </c>
      <c r="F373" t="str">
        <f>TEXT(G373,"MMMM")</f>
        <v>February</v>
      </c>
      <c r="G373" s="3">
        <v>44964</v>
      </c>
      <c r="H373" s="4" t="s">
        <v>405</v>
      </c>
      <c r="I373" s="4" t="s">
        <v>3</v>
      </c>
      <c r="J373" s="4" t="str">
        <f>IF(K373&lt;30, "Young Adult","Adult")</f>
        <v>Young Adult</v>
      </c>
      <c r="K373" s="4">
        <v>24</v>
      </c>
      <c r="L373" s="4" t="s">
        <v>6</v>
      </c>
      <c r="M373" s="4">
        <v>3</v>
      </c>
      <c r="N373" s="5">
        <v>500</v>
      </c>
      <c r="O373">
        <f>(M373*N373)</f>
        <v>1500</v>
      </c>
      <c r="P373">
        <f>O373*$S$3</f>
        <v>22.5</v>
      </c>
      <c r="Q373">
        <f>O373*$S$4</f>
        <v>30</v>
      </c>
    </row>
    <row r="374" spans="1:17">
      <c r="A374" s="2">
        <v>373</v>
      </c>
      <c r="B374" s="4">
        <f>DAY(G374)</f>
        <v>3</v>
      </c>
      <c r="C374">
        <f>MONTH(G374)</f>
        <v>10</v>
      </c>
      <c r="D374">
        <f>YEAR(G374)</f>
        <v>2023</v>
      </c>
      <c r="E374" t="str">
        <f>TEXT(G374,"DDDD")</f>
        <v>Tuesday</v>
      </c>
      <c r="F374" t="str">
        <f>TEXT(G374,"MMMM")</f>
        <v>October</v>
      </c>
      <c r="G374" s="3">
        <v>45202</v>
      </c>
      <c r="H374" s="4" t="s">
        <v>406</v>
      </c>
      <c r="I374" s="4" t="s">
        <v>3</v>
      </c>
      <c r="J374" s="4" t="str">
        <f>IF(K374&lt;30, "Young Adult","Adult")</f>
        <v>Young Adult</v>
      </c>
      <c r="K374" s="4">
        <v>25</v>
      </c>
      <c r="L374" s="4" t="s">
        <v>6</v>
      </c>
      <c r="M374" s="4">
        <v>2</v>
      </c>
      <c r="N374" s="5">
        <v>300</v>
      </c>
      <c r="O374">
        <f>(M374*N374)</f>
        <v>600</v>
      </c>
      <c r="P374">
        <f>O374*$S$3</f>
        <v>9</v>
      </c>
      <c r="Q374">
        <f>O374*$S$4</f>
        <v>12</v>
      </c>
    </row>
    <row r="375" spans="1:17">
      <c r="A375" s="2">
        <v>374</v>
      </c>
      <c r="B375" s="4">
        <f>DAY(G375)</f>
        <v>20</v>
      </c>
      <c r="C375">
        <f>MONTH(G375)</f>
        <v>4</v>
      </c>
      <c r="D375">
        <f>YEAR(G375)</f>
        <v>2023</v>
      </c>
      <c r="E375" t="str">
        <f>TEXT(G375,"DDDD")</f>
        <v>Thursday</v>
      </c>
      <c r="F375" t="str">
        <f>TEXT(G375,"MMMM")</f>
        <v>April</v>
      </c>
      <c r="G375" s="3">
        <v>45036</v>
      </c>
      <c r="H375" s="4" t="s">
        <v>407</v>
      </c>
      <c r="I375" s="4" t="s">
        <v>3</v>
      </c>
      <c r="J375" s="4" t="str">
        <f>IF(K375&lt;30, "Young Adult","Adult")</f>
        <v>Adult</v>
      </c>
      <c r="K375" s="4">
        <v>59</v>
      </c>
      <c r="L375" s="4" t="s">
        <v>6</v>
      </c>
      <c r="M375" s="4">
        <v>3</v>
      </c>
      <c r="N375" s="5">
        <v>25</v>
      </c>
      <c r="O375">
        <f>(M375*N375)</f>
        <v>75</v>
      </c>
      <c r="P375">
        <f>O375*$S$3</f>
        <v>1.125</v>
      </c>
      <c r="Q375">
        <f>O375*$S$4</f>
        <v>1.5</v>
      </c>
    </row>
    <row r="376" spans="1:17">
      <c r="A376" s="2">
        <v>375</v>
      </c>
      <c r="B376" s="4">
        <f>DAY(G376)</f>
        <v>17</v>
      </c>
      <c r="C376">
        <f>MONTH(G376)</f>
        <v>9</v>
      </c>
      <c r="D376">
        <f>YEAR(G376)</f>
        <v>2023</v>
      </c>
      <c r="E376" t="str">
        <f>TEXT(G376,"DDDD")</f>
        <v>Sunday</v>
      </c>
      <c r="F376" t="str">
        <f>TEXT(G376,"MMMM")</f>
        <v>September</v>
      </c>
      <c r="G376" s="3">
        <v>45186</v>
      </c>
      <c r="H376" s="4" t="s">
        <v>408</v>
      </c>
      <c r="I376" s="4" t="s">
        <v>4</v>
      </c>
      <c r="J376" s="4" t="str">
        <f>IF(K376&lt;30, "Young Adult","Adult")</f>
        <v>Adult</v>
      </c>
      <c r="K376" s="4">
        <v>32</v>
      </c>
      <c r="L376" s="4" t="s">
        <v>7</v>
      </c>
      <c r="M376" s="4">
        <v>1</v>
      </c>
      <c r="N376" s="5">
        <v>50</v>
      </c>
      <c r="O376">
        <f>(M376*N376)</f>
        <v>50</v>
      </c>
      <c r="P376">
        <f>O376*$S$3</f>
        <v>0.75</v>
      </c>
      <c r="Q376">
        <f>O376*$S$4</f>
        <v>1</v>
      </c>
    </row>
    <row r="377" spans="1:17">
      <c r="A377" s="2">
        <v>376</v>
      </c>
      <c r="B377" s="4">
        <f>DAY(G377)</f>
        <v>16</v>
      </c>
      <c r="C377">
        <f>MONTH(G377)</f>
        <v>5</v>
      </c>
      <c r="D377">
        <f>YEAR(G377)</f>
        <v>2023</v>
      </c>
      <c r="E377" t="str">
        <f>TEXT(G377,"DDDD")</f>
        <v>Tuesday</v>
      </c>
      <c r="F377" t="str">
        <f>TEXT(G377,"MMMM")</f>
        <v>May</v>
      </c>
      <c r="G377" s="3">
        <v>45062</v>
      </c>
      <c r="H377" s="4" t="s">
        <v>409</v>
      </c>
      <c r="I377" s="4" t="s">
        <v>3</v>
      </c>
      <c r="J377" s="4" t="str">
        <f>IF(K377&lt;30, "Young Adult","Adult")</f>
        <v>Adult</v>
      </c>
      <c r="K377" s="4">
        <v>64</v>
      </c>
      <c r="L377" s="4" t="s">
        <v>6</v>
      </c>
      <c r="M377" s="4">
        <v>1</v>
      </c>
      <c r="N377" s="5">
        <v>30</v>
      </c>
      <c r="O377">
        <f>(M377*N377)</f>
        <v>30</v>
      </c>
      <c r="P377">
        <f>O377*$S$3</f>
        <v>0.44999999999999996</v>
      </c>
      <c r="Q377">
        <f>O377*$S$4</f>
        <v>0.6</v>
      </c>
    </row>
    <row r="378" spans="1:17">
      <c r="A378" s="2">
        <v>377</v>
      </c>
      <c r="B378" s="4">
        <f>DAY(G378)</f>
        <v>9</v>
      </c>
      <c r="C378">
        <f>MONTH(G378)</f>
        <v>3</v>
      </c>
      <c r="D378">
        <f>YEAR(G378)</f>
        <v>2023</v>
      </c>
      <c r="E378" t="str">
        <f>TEXT(G378,"DDDD")</f>
        <v>Thursday</v>
      </c>
      <c r="F378" t="str">
        <f>TEXT(G378,"MMMM")</f>
        <v>March</v>
      </c>
      <c r="G378" s="3">
        <v>44994</v>
      </c>
      <c r="H378" s="4" t="s">
        <v>410</v>
      </c>
      <c r="I378" s="4" t="s">
        <v>3</v>
      </c>
      <c r="J378" s="4" t="str">
        <f>IF(K378&lt;30, "Young Adult","Adult")</f>
        <v>Adult</v>
      </c>
      <c r="K378" s="4">
        <v>46</v>
      </c>
      <c r="L378" s="4" t="s">
        <v>7</v>
      </c>
      <c r="M378" s="4">
        <v>4</v>
      </c>
      <c r="N378" s="5">
        <v>50</v>
      </c>
      <c r="O378">
        <f>(M378*N378)</f>
        <v>200</v>
      </c>
      <c r="P378">
        <f>O378*$S$3</f>
        <v>3</v>
      </c>
      <c r="Q378">
        <f>O378*$S$4</f>
        <v>4</v>
      </c>
    </row>
    <row r="379" spans="1:17">
      <c r="A379" s="2">
        <v>378</v>
      </c>
      <c r="B379" s="4">
        <f>DAY(G379)</f>
        <v>28</v>
      </c>
      <c r="C379">
        <f>MONTH(G379)</f>
        <v>6</v>
      </c>
      <c r="D379">
        <f>YEAR(G379)</f>
        <v>2023</v>
      </c>
      <c r="E379" t="str">
        <f>TEXT(G379,"DDDD")</f>
        <v>Wednesday</v>
      </c>
      <c r="F379" t="str">
        <f>TEXT(G379,"MMMM")</f>
        <v>June</v>
      </c>
      <c r="G379" s="3">
        <v>45105</v>
      </c>
      <c r="H379" s="4" t="s">
        <v>411</v>
      </c>
      <c r="I379" s="4" t="s">
        <v>4</v>
      </c>
      <c r="J379" s="4" t="str">
        <f>IF(K379&lt;30, "Young Adult","Adult")</f>
        <v>Adult</v>
      </c>
      <c r="K379" s="4">
        <v>50</v>
      </c>
      <c r="L379" s="4" t="s">
        <v>6</v>
      </c>
      <c r="M379" s="4">
        <v>1</v>
      </c>
      <c r="N379" s="5">
        <v>300</v>
      </c>
      <c r="O379">
        <f>(M379*N379)</f>
        <v>300</v>
      </c>
      <c r="P379">
        <f>O379*$S$3</f>
        <v>4.5</v>
      </c>
      <c r="Q379">
        <f>O379*$S$4</f>
        <v>6</v>
      </c>
    </row>
    <row r="380" spans="1:17">
      <c r="A380" s="2">
        <v>379</v>
      </c>
      <c r="B380" s="4">
        <f>DAY(G380)</f>
        <v>5</v>
      </c>
      <c r="C380">
        <f>MONTH(G380)</f>
        <v>2</v>
      </c>
      <c r="D380">
        <f>YEAR(G380)</f>
        <v>2023</v>
      </c>
      <c r="E380" t="str">
        <f>TEXT(G380,"DDDD")</f>
        <v>Sunday</v>
      </c>
      <c r="F380" t="str">
        <f>TEXT(G380,"MMMM")</f>
        <v>February</v>
      </c>
      <c r="G380" s="3">
        <v>44962</v>
      </c>
      <c r="H380" s="4" t="s">
        <v>412</v>
      </c>
      <c r="I380" s="4" t="s">
        <v>3</v>
      </c>
      <c r="J380" s="4" t="str">
        <f>IF(K380&lt;30, "Young Adult","Adult")</f>
        <v>Adult</v>
      </c>
      <c r="K380" s="4">
        <v>47</v>
      </c>
      <c r="L380" s="4" t="s">
        <v>7</v>
      </c>
      <c r="M380" s="4">
        <v>1</v>
      </c>
      <c r="N380" s="5">
        <v>25</v>
      </c>
      <c r="O380">
        <f>(M380*N380)</f>
        <v>25</v>
      </c>
      <c r="P380">
        <f>O380*$S$3</f>
        <v>0.375</v>
      </c>
      <c r="Q380">
        <f>O380*$S$4</f>
        <v>0.5</v>
      </c>
    </row>
    <row r="381" spans="1:17">
      <c r="A381" s="2">
        <v>380</v>
      </c>
      <c r="B381" s="4">
        <f>DAY(G381)</f>
        <v>6</v>
      </c>
      <c r="C381">
        <f>MONTH(G381)</f>
        <v>5</v>
      </c>
      <c r="D381">
        <f>YEAR(G381)</f>
        <v>2023</v>
      </c>
      <c r="E381" t="str">
        <f>TEXT(G381,"DDDD")</f>
        <v>Saturday</v>
      </c>
      <c r="F381" t="str">
        <f>TEXT(G381,"MMMM")</f>
        <v>May</v>
      </c>
      <c r="G381" s="3">
        <v>45052</v>
      </c>
      <c r="H381" s="4" t="s">
        <v>413</v>
      </c>
      <c r="I381" s="4" t="s">
        <v>4</v>
      </c>
      <c r="J381" s="4" t="str">
        <f>IF(K381&lt;30, "Young Adult","Adult")</f>
        <v>Adult</v>
      </c>
      <c r="K381" s="4">
        <v>56</v>
      </c>
      <c r="L381" s="4" t="s">
        <v>8</v>
      </c>
      <c r="M381" s="4">
        <v>2</v>
      </c>
      <c r="N381" s="5">
        <v>300</v>
      </c>
      <c r="O381">
        <f>(M381*N381)</f>
        <v>600</v>
      </c>
      <c r="P381">
        <f>O381*$S$3</f>
        <v>9</v>
      </c>
      <c r="Q381">
        <f>O381*$S$4</f>
        <v>12</v>
      </c>
    </row>
    <row r="382" spans="1:17">
      <c r="A382" s="2">
        <v>381</v>
      </c>
      <c r="B382" s="4">
        <f>DAY(G382)</f>
        <v>9</v>
      </c>
      <c r="C382">
        <f>MONTH(G382)</f>
        <v>7</v>
      </c>
      <c r="D382">
        <f>YEAR(G382)</f>
        <v>2023</v>
      </c>
      <c r="E382" t="str">
        <f>TEXT(G382,"DDDD")</f>
        <v>Sunday</v>
      </c>
      <c r="F382" t="str">
        <f>TEXT(G382,"MMMM")</f>
        <v>July</v>
      </c>
      <c r="G382" s="3">
        <v>45116</v>
      </c>
      <c r="H382" s="4" t="s">
        <v>414</v>
      </c>
      <c r="I382" s="4" t="s">
        <v>3</v>
      </c>
      <c r="J382" s="4" t="str">
        <f>IF(K382&lt;30, "Young Adult","Adult")</f>
        <v>Adult</v>
      </c>
      <c r="K382" s="4">
        <v>44</v>
      </c>
      <c r="L382" s="4" t="s">
        <v>7</v>
      </c>
      <c r="M382" s="4">
        <v>4</v>
      </c>
      <c r="N382" s="5">
        <v>25</v>
      </c>
      <c r="O382">
        <f>(M382*N382)</f>
        <v>100</v>
      </c>
      <c r="P382">
        <f>O382*$S$3</f>
        <v>1.5</v>
      </c>
      <c r="Q382">
        <f>O382*$S$4</f>
        <v>2</v>
      </c>
    </row>
    <row r="383" spans="1:17">
      <c r="A383" s="2">
        <v>382</v>
      </c>
      <c r="B383" s="4">
        <f>DAY(G383)</f>
        <v>26</v>
      </c>
      <c r="C383">
        <f>MONTH(G383)</f>
        <v>5</v>
      </c>
      <c r="D383">
        <f>YEAR(G383)</f>
        <v>2023</v>
      </c>
      <c r="E383" t="str">
        <f>TEXT(G383,"DDDD")</f>
        <v>Friday</v>
      </c>
      <c r="F383" t="str">
        <f>TEXT(G383,"MMMM")</f>
        <v>May</v>
      </c>
      <c r="G383" s="3">
        <v>45072</v>
      </c>
      <c r="H383" s="4" t="s">
        <v>415</v>
      </c>
      <c r="I383" s="4" t="s">
        <v>3</v>
      </c>
      <c r="J383" s="4" t="str">
        <f>IF(K383&lt;30, "Young Adult","Adult")</f>
        <v>Adult</v>
      </c>
      <c r="K383" s="4">
        <v>53</v>
      </c>
      <c r="L383" s="4" t="s">
        <v>7</v>
      </c>
      <c r="M383" s="4">
        <v>2</v>
      </c>
      <c r="N383" s="5">
        <v>500</v>
      </c>
      <c r="O383">
        <f>(M383*N383)</f>
        <v>1000</v>
      </c>
      <c r="P383">
        <f>O383*$S$3</f>
        <v>15</v>
      </c>
      <c r="Q383">
        <f>O383*$S$4</f>
        <v>20</v>
      </c>
    </row>
    <row r="384" spans="1:17">
      <c r="A384" s="2">
        <v>383</v>
      </c>
      <c r="B384" s="4">
        <f>DAY(G384)</f>
        <v>22</v>
      </c>
      <c r="C384">
        <f>MONTH(G384)</f>
        <v>3</v>
      </c>
      <c r="D384">
        <f>YEAR(G384)</f>
        <v>2023</v>
      </c>
      <c r="E384" t="str">
        <f>TEXT(G384,"DDDD")</f>
        <v>Wednesday</v>
      </c>
      <c r="F384" t="str">
        <f>TEXT(G384,"MMMM")</f>
        <v>March</v>
      </c>
      <c r="G384" s="3">
        <v>45007</v>
      </c>
      <c r="H384" s="4" t="s">
        <v>416</v>
      </c>
      <c r="I384" s="4" t="s">
        <v>3</v>
      </c>
      <c r="J384" s="4" t="str">
        <f>IF(K384&lt;30, "Young Adult","Adult")</f>
        <v>Adult</v>
      </c>
      <c r="K384" s="4">
        <v>46</v>
      </c>
      <c r="L384" s="4" t="s">
        <v>6</v>
      </c>
      <c r="M384" s="4">
        <v>3</v>
      </c>
      <c r="N384" s="5">
        <v>30</v>
      </c>
      <c r="O384">
        <f>(M384*N384)</f>
        <v>90</v>
      </c>
      <c r="P384">
        <f>O384*$S$3</f>
        <v>1.3499999999999999</v>
      </c>
      <c r="Q384">
        <f>O384*$S$4</f>
        <v>1.8</v>
      </c>
    </row>
    <row r="385" spans="1:17">
      <c r="A385" s="2">
        <v>384</v>
      </c>
      <c r="B385" s="4">
        <f>DAY(G385)</f>
        <v>13</v>
      </c>
      <c r="C385">
        <f>MONTH(G385)</f>
        <v>8</v>
      </c>
      <c r="D385">
        <f>YEAR(G385)</f>
        <v>2023</v>
      </c>
      <c r="E385" t="str">
        <f>TEXT(G385,"DDDD")</f>
        <v>Sunday</v>
      </c>
      <c r="F385" t="str">
        <f>TEXT(G385,"MMMM")</f>
        <v>August</v>
      </c>
      <c r="G385" s="3">
        <v>45151</v>
      </c>
      <c r="H385" s="4" t="s">
        <v>417</v>
      </c>
      <c r="I385" s="4" t="s">
        <v>4</v>
      </c>
      <c r="J385" s="4" t="str">
        <f>IF(K385&lt;30, "Young Adult","Adult")</f>
        <v>Adult</v>
      </c>
      <c r="K385" s="4">
        <v>55</v>
      </c>
      <c r="L385" s="4" t="s">
        <v>7</v>
      </c>
      <c r="M385" s="4">
        <v>1</v>
      </c>
      <c r="N385" s="5">
        <v>500</v>
      </c>
      <c r="O385">
        <f>(M385*N385)</f>
        <v>500</v>
      </c>
      <c r="P385">
        <f>O385*$S$3</f>
        <v>7.5</v>
      </c>
      <c r="Q385">
        <f>O385*$S$4</f>
        <v>10</v>
      </c>
    </row>
    <row r="386" spans="1:17">
      <c r="A386" s="2">
        <v>385</v>
      </c>
      <c r="B386" s="4">
        <f>DAY(G386)</f>
        <v>6</v>
      </c>
      <c r="C386">
        <f>MONTH(G386)</f>
        <v>10</v>
      </c>
      <c r="D386">
        <f>YEAR(G386)</f>
        <v>2023</v>
      </c>
      <c r="E386" t="str">
        <f>TEXT(G386,"DDDD")</f>
        <v>Friday</v>
      </c>
      <c r="F386" t="str">
        <f>TEXT(G386,"MMMM")</f>
        <v>October</v>
      </c>
      <c r="G386" s="3">
        <v>45205</v>
      </c>
      <c r="H386" s="4" t="s">
        <v>418</v>
      </c>
      <c r="I386" s="4" t="s">
        <v>4</v>
      </c>
      <c r="J386" s="4" t="str">
        <f>IF(K386&lt;30, "Young Adult","Adult")</f>
        <v>Adult</v>
      </c>
      <c r="K386" s="4">
        <v>50</v>
      </c>
      <c r="L386" s="4" t="s">
        <v>8</v>
      </c>
      <c r="M386" s="4">
        <v>3</v>
      </c>
      <c r="N386" s="5">
        <v>500</v>
      </c>
      <c r="O386">
        <f>(M386*N386)</f>
        <v>1500</v>
      </c>
      <c r="P386">
        <f>O386*$S$3</f>
        <v>22.5</v>
      </c>
      <c r="Q386">
        <f>O386*$S$4</f>
        <v>30</v>
      </c>
    </row>
    <row r="387" spans="1:17">
      <c r="A387" s="2">
        <v>386</v>
      </c>
      <c r="B387" s="4">
        <f>DAY(G387)</f>
        <v>27</v>
      </c>
      <c r="C387">
        <f>MONTH(G387)</f>
        <v>12</v>
      </c>
      <c r="D387">
        <f>YEAR(G387)</f>
        <v>2023</v>
      </c>
      <c r="E387" t="str">
        <f>TEXT(G387,"DDDD")</f>
        <v>Wednesday</v>
      </c>
      <c r="F387" t="str">
        <f>TEXT(G387,"MMMM")</f>
        <v>December</v>
      </c>
      <c r="G387" s="3">
        <v>45287</v>
      </c>
      <c r="H387" s="4" t="s">
        <v>419</v>
      </c>
      <c r="I387" s="4" t="s">
        <v>3</v>
      </c>
      <c r="J387" s="4" t="str">
        <f>IF(K387&lt;30, "Young Adult","Adult")</f>
        <v>Adult</v>
      </c>
      <c r="K387" s="4">
        <v>54</v>
      </c>
      <c r="L387" s="4" t="s">
        <v>8</v>
      </c>
      <c r="M387" s="4">
        <v>2</v>
      </c>
      <c r="N387" s="5">
        <v>300</v>
      </c>
      <c r="O387">
        <f>(M387*N387)</f>
        <v>600</v>
      </c>
      <c r="P387">
        <f>O387*$S$3</f>
        <v>9</v>
      </c>
      <c r="Q387">
        <f>O387*$S$4</f>
        <v>12</v>
      </c>
    </row>
    <row r="388" spans="1:17">
      <c r="A388" s="2">
        <v>387</v>
      </c>
      <c r="B388" s="4">
        <f>DAY(G388)</f>
        <v>4</v>
      </c>
      <c r="C388">
        <f>MONTH(G388)</f>
        <v>6</v>
      </c>
      <c r="D388">
        <f>YEAR(G388)</f>
        <v>2023</v>
      </c>
      <c r="E388" t="str">
        <f>TEXT(G388,"DDDD")</f>
        <v>Sunday</v>
      </c>
      <c r="F388" t="str">
        <f>TEXT(G388,"MMMM")</f>
        <v>June</v>
      </c>
      <c r="G388" s="3">
        <v>45081</v>
      </c>
      <c r="H388" s="4" t="s">
        <v>420</v>
      </c>
      <c r="I388" s="4" t="s">
        <v>4</v>
      </c>
      <c r="J388" s="4" t="str">
        <f>IF(K388&lt;30, "Young Adult","Adult")</f>
        <v>Adult</v>
      </c>
      <c r="K388" s="4">
        <v>44</v>
      </c>
      <c r="L388" s="4" t="s">
        <v>6</v>
      </c>
      <c r="M388" s="4">
        <v>1</v>
      </c>
      <c r="N388" s="5">
        <v>30</v>
      </c>
      <c r="O388">
        <f>(M388*N388)</f>
        <v>30</v>
      </c>
      <c r="P388">
        <f>O388*$S$3</f>
        <v>0.44999999999999996</v>
      </c>
      <c r="Q388">
        <f>O388*$S$4</f>
        <v>0.6</v>
      </c>
    </row>
    <row r="389" spans="1:17">
      <c r="A389" s="2">
        <v>388</v>
      </c>
      <c r="B389" s="4">
        <f>DAY(G389)</f>
        <v>10</v>
      </c>
      <c r="C389">
        <f>MONTH(G389)</f>
        <v>11</v>
      </c>
      <c r="D389">
        <f>YEAR(G389)</f>
        <v>2023</v>
      </c>
      <c r="E389" t="str">
        <f>TEXT(G389,"DDDD")</f>
        <v>Friday</v>
      </c>
      <c r="F389" t="str">
        <f>TEXT(G389,"MMMM")</f>
        <v>November</v>
      </c>
      <c r="G389" s="3">
        <v>45240</v>
      </c>
      <c r="H389" s="4" t="s">
        <v>421</v>
      </c>
      <c r="I389" s="4" t="s">
        <v>4</v>
      </c>
      <c r="J389" s="4" t="str">
        <f>IF(K389&lt;30, "Young Adult","Adult")</f>
        <v>Adult</v>
      </c>
      <c r="K389" s="4">
        <v>50</v>
      </c>
      <c r="L389" s="4" t="s">
        <v>8</v>
      </c>
      <c r="M389" s="4">
        <v>1</v>
      </c>
      <c r="N389" s="5">
        <v>25</v>
      </c>
      <c r="O389">
        <f>(M389*N389)</f>
        <v>25</v>
      </c>
      <c r="P389">
        <f>O389*$S$3</f>
        <v>0.375</v>
      </c>
      <c r="Q389">
        <f>O389*$S$4</f>
        <v>0.5</v>
      </c>
    </row>
    <row r="390" spans="1:17">
      <c r="A390" s="2">
        <v>389</v>
      </c>
      <c r="B390" s="4">
        <f>DAY(G390)</f>
        <v>1</v>
      </c>
      <c r="C390">
        <f>MONTH(G390)</f>
        <v>12</v>
      </c>
      <c r="D390">
        <f>YEAR(G390)</f>
        <v>2023</v>
      </c>
      <c r="E390" t="str">
        <f>TEXT(G390,"DDDD")</f>
        <v>Friday</v>
      </c>
      <c r="F390" t="str">
        <f>TEXT(G390,"MMMM")</f>
        <v>December</v>
      </c>
      <c r="G390" s="3">
        <v>45261</v>
      </c>
      <c r="H390" s="4" t="s">
        <v>422</v>
      </c>
      <c r="I390" s="4" t="s">
        <v>4</v>
      </c>
      <c r="J390" s="4" t="str">
        <f>IF(K390&lt;30, "Young Adult","Adult")</f>
        <v>Young Adult</v>
      </c>
      <c r="K390" s="4">
        <v>21</v>
      </c>
      <c r="L390" s="4" t="s">
        <v>7</v>
      </c>
      <c r="M390" s="4">
        <v>2</v>
      </c>
      <c r="N390" s="5">
        <v>25</v>
      </c>
      <c r="O390">
        <f>(M390*N390)</f>
        <v>50</v>
      </c>
      <c r="P390">
        <f>O390*$S$3</f>
        <v>0.75</v>
      </c>
      <c r="Q390">
        <f>O390*$S$4</f>
        <v>1</v>
      </c>
    </row>
    <row r="391" spans="1:17">
      <c r="A391" s="2">
        <v>390</v>
      </c>
      <c r="B391" s="4">
        <f>DAY(G391)</f>
        <v>28</v>
      </c>
      <c r="C391">
        <f>MONTH(G391)</f>
        <v>9</v>
      </c>
      <c r="D391">
        <f>YEAR(G391)</f>
        <v>2023</v>
      </c>
      <c r="E391" t="str">
        <f>TEXT(G391,"DDDD")</f>
        <v>Thursday</v>
      </c>
      <c r="F391" t="str">
        <f>TEXT(G391,"MMMM")</f>
        <v>September</v>
      </c>
      <c r="G391" s="3">
        <v>45197</v>
      </c>
      <c r="H391" s="4" t="s">
        <v>423</v>
      </c>
      <c r="I391" s="4" t="s">
        <v>4</v>
      </c>
      <c r="J391" s="4" t="str">
        <f>IF(K391&lt;30, "Young Adult","Adult")</f>
        <v>Adult</v>
      </c>
      <c r="K391" s="4">
        <v>39</v>
      </c>
      <c r="L391" s="4" t="s">
        <v>8</v>
      </c>
      <c r="M391" s="4">
        <v>2</v>
      </c>
      <c r="N391" s="5">
        <v>50</v>
      </c>
      <c r="O391">
        <f>(M391*N391)</f>
        <v>100</v>
      </c>
      <c r="P391">
        <f>O391*$S$3</f>
        <v>1.5</v>
      </c>
      <c r="Q391">
        <f>O391*$S$4</f>
        <v>2</v>
      </c>
    </row>
    <row r="392" spans="1:17">
      <c r="A392" s="2">
        <v>391</v>
      </c>
      <c r="B392" s="4">
        <f>DAY(G392)</f>
        <v>5</v>
      </c>
      <c r="C392">
        <f>MONTH(G392)</f>
        <v>1</v>
      </c>
      <c r="D392">
        <f>YEAR(G392)</f>
        <v>2023</v>
      </c>
      <c r="E392" t="str">
        <f>TEXT(G392,"DDDD")</f>
        <v>Thursday</v>
      </c>
      <c r="F392" t="str">
        <f>TEXT(G392,"MMMM")</f>
        <v>January</v>
      </c>
      <c r="G392" s="3">
        <v>44931</v>
      </c>
      <c r="H392" s="4" t="s">
        <v>424</v>
      </c>
      <c r="I392" s="4" t="s">
        <v>4</v>
      </c>
      <c r="J392" s="4" t="str">
        <f>IF(K392&lt;30, "Young Adult","Adult")</f>
        <v>Young Adult</v>
      </c>
      <c r="K392" s="4">
        <v>19</v>
      </c>
      <c r="L392" s="4" t="s">
        <v>6</v>
      </c>
      <c r="M392" s="4">
        <v>2</v>
      </c>
      <c r="N392" s="5">
        <v>25</v>
      </c>
      <c r="O392">
        <f>(M392*N392)</f>
        <v>50</v>
      </c>
      <c r="P392">
        <f>O392*$S$3</f>
        <v>0.75</v>
      </c>
      <c r="Q392">
        <f>O392*$S$4</f>
        <v>1</v>
      </c>
    </row>
    <row r="393" spans="1:17">
      <c r="A393" s="2">
        <v>392</v>
      </c>
      <c r="B393" s="4">
        <f>DAY(G393)</f>
        <v>8</v>
      </c>
      <c r="C393">
        <f>MONTH(G393)</f>
        <v>12</v>
      </c>
      <c r="D393">
        <f>YEAR(G393)</f>
        <v>2023</v>
      </c>
      <c r="E393" t="str">
        <f>TEXT(G393,"DDDD")</f>
        <v>Friday</v>
      </c>
      <c r="F393" t="str">
        <f>TEXT(G393,"MMMM")</f>
        <v>December</v>
      </c>
      <c r="G393" s="3">
        <v>45268</v>
      </c>
      <c r="H393" s="4" t="s">
        <v>425</v>
      </c>
      <c r="I393" s="4" t="s">
        <v>4</v>
      </c>
      <c r="J393" s="4" t="str">
        <f>IF(K393&lt;30, "Young Adult","Adult")</f>
        <v>Young Adult</v>
      </c>
      <c r="K393" s="4">
        <v>27</v>
      </c>
      <c r="L393" s="4" t="s">
        <v>7</v>
      </c>
      <c r="M393" s="4">
        <v>2</v>
      </c>
      <c r="N393" s="5">
        <v>300</v>
      </c>
      <c r="O393">
        <f>(M393*N393)</f>
        <v>600</v>
      </c>
      <c r="P393">
        <f>O393*$S$3</f>
        <v>9</v>
      </c>
      <c r="Q393">
        <f>O393*$S$4</f>
        <v>12</v>
      </c>
    </row>
    <row r="394" spans="1:17">
      <c r="A394" s="2">
        <v>393</v>
      </c>
      <c r="B394" s="4">
        <f>DAY(G394)</f>
        <v>11</v>
      </c>
      <c r="C394">
        <f>MONTH(G394)</f>
        <v>10</v>
      </c>
      <c r="D394">
        <f>YEAR(G394)</f>
        <v>2023</v>
      </c>
      <c r="E394" t="str">
        <f>TEXT(G394,"DDDD")</f>
        <v>Wednesday</v>
      </c>
      <c r="F394" t="str">
        <f>TEXT(G394,"MMMM")</f>
        <v>October</v>
      </c>
      <c r="G394" s="3">
        <v>45210</v>
      </c>
      <c r="H394" s="4" t="s">
        <v>426</v>
      </c>
      <c r="I394" s="4" t="s">
        <v>3</v>
      </c>
      <c r="J394" s="4" t="str">
        <f>IF(K394&lt;30, "Young Adult","Adult")</f>
        <v>Young Adult</v>
      </c>
      <c r="K394" s="4">
        <v>22</v>
      </c>
      <c r="L394" s="4" t="s">
        <v>6</v>
      </c>
      <c r="M394" s="4">
        <v>2</v>
      </c>
      <c r="N394" s="5">
        <v>500</v>
      </c>
      <c r="O394">
        <f>(M394*N394)</f>
        <v>1000</v>
      </c>
      <c r="P394">
        <f>O394*$S$3</f>
        <v>15</v>
      </c>
      <c r="Q394">
        <f>O394*$S$4</f>
        <v>20</v>
      </c>
    </row>
    <row r="395" spans="1:17">
      <c r="A395" s="2">
        <v>394</v>
      </c>
      <c r="B395" s="4">
        <f>DAY(G395)</f>
        <v>3</v>
      </c>
      <c r="C395">
        <f>MONTH(G395)</f>
        <v>6</v>
      </c>
      <c r="D395">
        <f>YEAR(G395)</f>
        <v>2023</v>
      </c>
      <c r="E395" t="str">
        <f>TEXT(G395,"DDDD")</f>
        <v>Saturday</v>
      </c>
      <c r="F395" t="str">
        <f>TEXT(G395,"MMMM")</f>
        <v>June</v>
      </c>
      <c r="G395" s="3">
        <v>45080</v>
      </c>
      <c r="H395" s="4" t="s">
        <v>427</v>
      </c>
      <c r="I395" s="4" t="s">
        <v>3</v>
      </c>
      <c r="J395" s="4" t="str">
        <f>IF(K395&lt;30, "Young Adult","Adult")</f>
        <v>Young Adult</v>
      </c>
      <c r="K395" s="4">
        <v>27</v>
      </c>
      <c r="L395" s="4" t="s">
        <v>7</v>
      </c>
      <c r="M395" s="4">
        <v>1</v>
      </c>
      <c r="N395" s="5">
        <v>500</v>
      </c>
      <c r="O395">
        <f>(M395*N395)</f>
        <v>500</v>
      </c>
      <c r="P395">
        <f>O395*$S$3</f>
        <v>7.5</v>
      </c>
      <c r="Q395">
        <f>O395*$S$4</f>
        <v>10</v>
      </c>
    </row>
    <row r="396" spans="1:17">
      <c r="A396" s="2">
        <v>395</v>
      </c>
      <c r="B396" s="4">
        <f>DAY(G396)</f>
        <v>6</v>
      </c>
      <c r="C396">
        <f>MONTH(G396)</f>
        <v>12</v>
      </c>
      <c r="D396">
        <f>YEAR(G396)</f>
        <v>2023</v>
      </c>
      <c r="E396" t="str">
        <f>TEXT(G396,"DDDD")</f>
        <v>Wednesday</v>
      </c>
      <c r="F396" t="str">
        <f>TEXT(G396,"MMMM")</f>
        <v>December</v>
      </c>
      <c r="G396" s="3">
        <v>45266</v>
      </c>
      <c r="H396" s="4" t="s">
        <v>428</v>
      </c>
      <c r="I396" s="4" t="s">
        <v>4</v>
      </c>
      <c r="J396" s="4" t="str">
        <f>IF(K396&lt;30, "Young Adult","Adult")</f>
        <v>Adult</v>
      </c>
      <c r="K396" s="4">
        <v>50</v>
      </c>
      <c r="L396" s="4" t="s">
        <v>8</v>
      </c>
      <c r="M396" s="4">
        <v>2</v>
      </c>
      <c r="N396" s="5">
        <v>500</v>
      </c>
      <c r="O396">
        <f>(M396*N396)</f>
        <v>1000</v>
      </c>
      <c r="P396">
        <f>O396*$S$3</f>
        <v>15</v>
      </c>
      <c r="Q396">
        <f>O396*$S$4</f>
        <v>20</v>
      </c>
    </row>
    <row r="397" spans="1:17">
      <c r="A397" s="2">
        <v>396</v>
      </c>
      <c r="B397" s="4">
        <f>DAY(G397)</f>
        <v>23</v>
      </c>
      <c r="C397">
        <f>MONTH(G397)</f>
        <v>2</v>
      </c>
      <c r="D397">
        <f>YEAR(G397)</f>
        <v>2023</v>
      </c>
      <c r="E397" t="str">
        <f>TEXT(G397,"DDDD")</f>
        <v>Thursday</v>
      </c>
      <c r="F397" t="str">
        <f>TEXT(G397,"MMMM")</f>
        <v>February</v>
      </c>
      <c r="G397" s="3">
        <v>44980</v>
      </c>
      <c r="H397" s="4" t="s">
        <v>429</v>
      </c>
      <c r="I397" s="4" t="s">
        <v>3</v>
      </c>
      <c r="J397" s="4" t="str">
        <f>IF(K397&lt;30, "Young Adult","Adult")</f>
        <v>Adult</v>
      </c>
      <c r="K397" s="4">
        <v>55</v>
      </c>
      <c r="L397" s="4" t="s">
        <v>6</v>
      </c>
      <c r="M397" s="4">
        <v>1</v>
      </c>
      <c r="N397" s="5">
        <v>30</v>
      </c>
      <c r="O397">
        <f>(M397*N397)</f>
        <v>30</v>
      </c>
      <c r="P397">
        <f>O397*$S$3</f>
        <v>0.44999999999999996</v>
      </c>
      <c r="Q397">
        <f>O397*$S$4</f>
        <v>0.6</v>
      </c>
    </row>
    <row r="398" spans="1:17">
      <c r="A398" s="2">
        <v>397</v>
      </c>
      <c r="B398" s="4">
        <f>DAY(G398)</f>
        <v>10</v>
      </c>
      <c r="C398">
        <f>MONTH(G398)</f>
        <v>3</v>
      </c>
      <c r="D398">
        <f>YEAR(G398)</f>
        <v>2023</v>
      </c>
      <c r="E398" t="str">
        <f>TEXT(G398,"DDDD")</f>
        <v>Friday</v>
      </c>
      <c r="F398" t="str">
        <f>TEXT(G398,"MMMM")</f>
        <v>March</v>
      </c>
      <c r="G398" s="3">
        <v>44995</v>
      </c>
      <c r="H398" s="4" t="s">
        <v>430</v>
      </c>
      <c r="I398" s="4" t="s">
        <v>3</v>
      </c>
      <c r="J398" s="4" t="str">
        <f>IF(K398&lt;30, "Young Adult","Adult")</f>
        <v>Adult</v>
      </c>
      <c r="K398" s="4">
        <v>30</v>
      </c>
      <c r="L398" s="4" t="s">
        <v>6</v>
      </c>
      <c r="M398" s="4">
        <v>1</v>
      </c>
      <c r="N398" s="5">
        <v>25</v>
      </c>
      <c r="O398">
        <f>(M398*N398)</f>
        <v>25</v>
      </c>
      <c r="P398">
        <f>O398*$S$3</f>
        <v>0.375</v>
      </c>
      <c r="Q398">
        <f>O398*$S$4</f>
        <v>0.5</v>
      </c>
    </row>
    <row r="399" spans="1:17">
      <c r="A399" s="2">
        <v>398</v>
      </c>
      <c r="B399" s="4">
        <f>DAY(G399)</f>
        <v>16</v>
      </c>
      <c r="C399">
        <f>MONTH(G399)</f>
        <v>5</v>
      </c>
      <c r="D399">
        <f>YEAR(G399)</f>
        <v>2023</v>
      </c>
      <c r="E399" t="str">
        <f>TEXT(G399,"DDDD")</f>
        <v>Tuesday</v>
      </c>
      <c r="F399" t="str">
        <f>TEXT(G399,"MMMM")</f>
        <v>May</v>
      </c>
      <c r="G399" s="3">
        <v>45062</v>
      </c>
      <c r="H399" s="4" t="s">
        <v>431</v>
      </c>
      <c r="I399" s="4" t="s">
        <v>3</v>
      </c>
      <c r="J399" s="4" t="str">
        <f>IF(K399&lt;30, "Young Adult","Adult")</f>
        <v>Adult</v>
      </c>
      <c r="K399" s="4">
        <v>48</v>
      </c>
      <c r="L399" s="4" t="s">
        <v>7</v>
      </c>
      <c r="M399" s="4">
        <v>2</v>
      </c>
      <c r="N399" s="5">
        <v>300</v>
      </c>
      <c r="O399">
        <f>(M399*N399)</f>
        <v>600</v>
      </c>
      <c r="P399">
        <f>O399*$S$3</f>
        <v>9</v>
      </c>
      <c r="Q399">
        <f>O399*$S$4</f>
        <v>12</v>
      </c>
    </row>
    <row r="400" spans="1:17">
      <c r="A400" s="2">
        <v>399</v>
      </c>
      <c r="B400" s="4">
        <f>DAY(G400)</f>
        <v>1</v>
      </c>
      <c r="C400">
        <f>MONTH(G400)</f>
        <v>3</v>
      </c>
      <c r="D400">
        <f>YEAR(G400)</f>
        <v>2023</v>
      </c>
      <c r="E400" t="str">
        <f>TEXT(G400,"DDDD")</f>
        <v>Wednesday</v>
      </c>
      <c r="F400" t="str">
        <f>TEXT(G400,"MMMM")</f>
        <v>March</v>
      </c>
      <c r="G400" s="3">
        <v>44986</v>
      </c>
      <c r="H400" s="4" t="s">
        <v>432</v>
      </c>
      <c r="I400" s="4" t="s">
        <v>3</v>
      </c>
      <c r="J400" s="4" t="str">
        <f>IF(K400&lt;30, "Young Adult","Adult")</f>
        <v>Adult</v>
      </c>
      <c r="K400" s="4">
        <v>64</v>
      </c>
      <c r="L400" s="4" t="s">
        <v>6</v>
      </c>
      <c r="M400" s="4">
        <v>2</v>
      </c>
      <c r="N400" s="5">
        <v>30</v>
      </c>
      <c r="O400">
        <f>(M400*N400)</f>
        <v>60</v>
      </c>
      <c r="P400">
        <f>O400*$S$3</f>
        <v>0.89999999999999991</v>
      </c>
      <c r="Q400">
        <f>O400*$S$4</f>
        <v>1.2</v>
      </c>
    </row>
    <row r="401" spans="1:17">
      <c r="A401" s="2">
        <v>400</v>
      </c>
      <c r="B401" s="4">
        <f>DAY(G401)</f>
        <v>24</v>
      </c>
      <c r="C401">
        <f>MONTH(G401)</f>
        <v>2</v>
      </c>
      <c r="D401">
        <f>YEAR(G401)</f>
        <v>2023</v>
      </c>
      <c r="E401" t="str">
        <f>TEXT(G401,"DDDD")</f>
        <v>Friday</v>
      </c>
      <c r="F401" t="str">
        <f>TEXT(G401,"MMMM")</f>
        <v>February</v>
      </c>
      <c r="G401" s="3">
        <v>44981</v>
      </c>
      <c r="H401" s="4" t="s">
        <v>433</v>
      </c>
      <c r="I401" s="4" t="s">
        <v>4</v>
      </c>
      <c r="J401" s="4" t="str">
        <f>IF(K401&lt;30, "Young Adult","Adult")</f>
        <v>Adult</v>
      </c>
      <c r="K401" s="4">
        <v>53</v>
      </c>
      <c r="L401" s="4" t="s">
        <v>7</v>
      </c>
      <c r="M401" s="4">
        <v>4</v>
      </c>
      <c r="N401" s="5">
        <v>50</v>
      </c>
      <c r="O401">
        <f>(M401*N401)</f>
        <v>200</v>
      </c>
      <c r="P401">
        <f>O401*$S$3</f>
        <v>3</v>
      </c>
      <c r="Q401">
        <f>O401*$S$4</f>
        <v>4</v>
      </c>
    </row>
    <row r="402" spans="1:17">
      <c r="A402" s="2">
        <v>401</v>
      </c>
      <c r="B402" s="4">
        <f>DAY(G402)</f>
        <v>11</v>
      </c>
      <c r="C402">
        <f>MONTH(G402)</f>
        <v>10</v>
      </c>
      <c r="D402">
        <f>YEAR(G402)</f>
        <v>2023</v>
      </c>
      <c r="E402" t="str">
        <f>TEXT(G402,"DDDD")</f>
        <v>Wednesday</v>
      </c>
      <c r="F402" t="str">
        <f>TEXT(G402,"MMMM")</f>
        <v>October</v>
      </c>
      <c r="G402" s="3">
        <v>45210</v>
      </c>
      <c r="H402" s="4" t="s">
        <v>434</v>
      </c>
      <c r="I402" s="4" t="s">
        <v>3</v>
      </c>
      <c r="J402" s="4" t="str">
        <f>IF(K402&lt;30, "Young Adult","Adult")</f>
        <v>Adult</v>
      </c>
      <c r="K402" s="4">
        <v>62</v>
      </c>
      <c r="L402" s="4" t="s">
        <v>7</v>
      </c>
      <c r="M402" s="4">
        <v>1</v>
      </c>
      <c r="N402" s="5">
        <v>300</v>
      </c>
      <c r="O402">
        <f>(M402*N402)</f>
        <v>300</v>
      </c>
      <c r="P402">
        <f>O402*$S$3</f>
        <v>4.5</v>
      </c>
      <c r="Q402">
        <f>O402*$S$4</f>
        <v>6</v>
      </c>
    </row>
    <row r="403" spans="1:17">
      <c r="A403" s="2">
        <v>402</v>
      </c>
      <c r="B403" s="4">
        <f>DAY(G403)</f>
        <v>21</v>
      </c>
      <c r="C403">
        <f>MONTH(G403)</f>
        <v>3</v>
      </c>
      <c r="D403">
        <f>YEAR(G403)</f>
        <v>2023</v>
      </c>
      <c r="E403" t="str">
        <f>TEXT(G403,"DDDD")</f>
        <v>Tuesday</v>
      </c>
      <c r="F403" t="str">
        <f>TEXT(G403,"MMMM")</f>
        <v>March</v>
      </c>
      <c r="G403" s="3">
        <v>45006</v>
      </c>
      <c r="H403" s="4" t="s">
        <v>435</v>
      </c>
      <c r="I403" s="4" t="s">
        <v>3</v>
      </c>
      <c r="J403" s="4" t="str">
        <f>IF(K403&lt;30, "Young Adult","Adult")</f>
        <v>Adult</v>
      </c>
      <c r="K403" s="4">
        <v>41</v>
      </c>
      <c r="L403" s="4" t="s">
        <v>7</v>
      </c>
      <c r="M403" s="4">
        <v>2</v>
      </c>
      <c r="N403" s="5">
        <v>300</v>
      </c>
      <c r="O403">
        <f>(M403*N403)</f>
        <v>600</v>
      </c>
      <c r="P403">
        <f>O403*$S$3</f>
        <v>9</v>
      </c>
      <c r="Q403">
        <f>O403*$S$4</f>
        <v>12</v>
      </c>
    </row>
    <row r="404" spans="1:17">
      <c r="A404" s="2">
        <v>403</v>
      </c>
      <c r="B404" s="4">
        <f>DAY(G404)</f>
        <v>20</v>
      </c>
      <c r="C404">
        <f>MONTH(G404)</f>
        <v>5</v>
      </c>
      <c r="D404">
        <f>YEAR(G404)</f>
        <v>2023</v>
      </c>
      <c r="E404" t="str">
        <f>TEXT(G404,"DDDD")</f>
        <v>Saturday</v>
      </c>
      <c r="F404" t="str">
        <f>TEXT(G404,"MMMM")</f>
        <v>May</v>
      </c>
      <c r="G404" s="3">
        <v>45066</v>
      </c>
      <c r="H404" s="4" t="s">
        <v>436</v>
      </c>
      <c r="I404" s="4" t="s">
        <v>4</v>
      </c>
      <c r="J404" s="4" t="str">
        <f>IF(K404&lt;30, "Young Adult","Adult")</f>
        <v>Adult</v>
      </c>
      <c r="K404" s="4">
        <v>32</v>
      </c>
      <c r="L404" s="4" t="s">
        <v>7</v>
      </c>
      <c r="M404" s="4">
        <v>2</v>
      </c>
      <c r="N404" s="5">
        <v>300</v>
      </c>
      <c r="O404">
        <f>(M404*N404)</f>
        <v>600</v>
      </c>
      <c r="P404">
        <f>O404*$S$3</f>
        <v>9</v>
      </c>
      <c r="Q404">
        <f>O404*$S$4</f>
        <v>12</v>
      </c>
    </row>
    <row r="405" spans="1:17">
      <c r="A405" s="2">
        <v>404</v>
      </c>
      <c r="B405" s="4">
        <f>DAY(G405)</f>
        <v>25</v>
      </c>
      <c r="C405">
        <f>MONTH(G405)</f>
        <v>5</v>
      </c>
      <c r="D405">
        <f>YEAR(G405)</f>
        <v>2023</v>
      </c>
      <c r="E405" t="str">
        <f>TEXT(G405,"DDDD")</f>
        <v>Thursday</v>
      </c>
      <c r="F405" t="str">
        <f>TEXT(G405,"MMMM")</f>
        <v>May</v>
      </c>
      <c r="G405" s="3">
        <v>45071</v>
      </c>
      <c r="H405" s="4" t="s">
        <v>437</v>
      </c>
      <c r="I405" s="4" t="s">
        <v>4</v>
      </c>
      <c r="J405" s="4" t="str">
        <f>IF(K405&lt;30, "Young Adult","Adult")</f>
        <v>Adult</v>
      </c>
      <c r="K405" s="4">
        <v>46</v>
      </c>
      <c r="L405" s="4" t="s">
        <v>8</v>
      </c>
      <c r="M405" s="4">
        <v>2</v>
      </c>
      <c r="N405" s="5">
        <v>500</v>
      </c>
      <c r="O405">
        <f>(M405*N405)</f>
        <v>1000</v>
      </c>
      <c r="P405">
        <f>O405*$S$3</f>
        <v>15</v>
      </c>
      <c r="Q405">
        <f>O405*$S$4</f>
        <v>20</v>
      </c>
    </row>
    <row r="406" spans="1:17">
      <c r="A406" s="2">
        <v>405</v>
      </c>
      <c r="B406" s="4">
        <f>DAY(G406)</f>
        <v>6</v>
      </c>
      <c r="C406">
        <f>MONTH(G406)</f>
        <v>11</v>
      </c>
      <c r="D406">
        <f>YEAR(G406)</f>
        <v>2023</v>
      </c>
      <c r="E406" t="str">
        <f>TEXT(G406,"DDDD")</f>
        <v>Monday</v>
      </c>
      <c r="F406" t="str">
        <f>TEXT(G406,"MMMM")</f>
        <v>November</v>
      </c>
      <c r="G406" s="3">
        <v>45236</v>
      </c>
      <c r="H406" s="4" t="s">
        <v>438</v>
      </c>
      <c r="I406" s="4" t="s">
        <v>3</v>
      </c>
      <c r="J406" s="4" t="str">
        <f>IF(K406&lt;30, "Young Adult","Adult")</f>
        <v>Young Adult</v>
      </c>
      <c r="K406" s="4">
        <v>25</v>
      </c>
      <c r="L406" s="4" t="s">
        <v>7</v>
      </c>
      <c r="M406" s="4">
        <v>4</v>
      </c>
      <c r="N406" s="5">
        <v>300</v>
      </c>
      <c r="O406">
        <f>(M406*N406)</f>
        <v>1200</v>
      </c>
      <c r="P406">
        <f>O406*$S$3</f>
        <v>18</v>
      </c>
      <c r="Q406">
        <f>O406*$S$4</f>
        <v>24</v>
      </c>
    </row>
    <row r="407" spans="1:17">
      <c r="A407" s="2">
        <v>406</v>
      </c>
      <c r="B407" s="4">
        <f>DAY(G407)</f>
        <v>18</v>
      </c>
      <c r="C407">
        <f>MONTH(G407)</f>
        <v>4</v>
      </c>
      <c r="D407">
        <f>YEAR(G407)</f>
        <v>2023</v>
      </c>
      <c r="E407" t="str">
        <f>TEXT(G407,"DDDD")</f>
        <v>Tuesday</v>
      </c>
      <c r="F407" t="str">
        <f>TEXT(G407,"MMMM")</f>
        <v>April</v>
      </c>
      <c r="G407" s="3">
        <v>45034</v>
      </c>
      <c r="H407" s="4" t="s">
        <v>439</v>
      </c>
      <c r="I407" s="4" t="s">
        <v>3</v>
      </c>
      <c r="J407" s="4" t="str">
        <f>IF(K407&lt;30, "Young Adult","Adult")</f>
        <v>Young Adult</v>
      </c>
      <c r="K407" s="4">
        <v>22</v>
      </c>
      <c r="L407" s="4" t="s">
        <v>6</v>
      </c>
      <c r="M407" s="4">
        <v>4</v>
      </c>
      <c r="N407" s="5">
        <v>25</v>
      </c>
      <c r="O407">
        <f>(M407*N407)</f>
        <v>100</v>
      </c>
      <c r="P407">
        <f>O407*$S$3</f>
        <v>1.5</v>
      </c>
      <c r="Q407">
        <f>O407*$S$4</f>
        <v>2</v>
      </c>
    </row>
    <row r="408" spans="1:17">
      <c r="A408" s="2">
        <v>407</v>
      </c>
      <c r="B408" s="4">
        <f>DAY(G408)</f>
        <v>25</v>
      </c>
      <c r="C408">
        <f>MONTH(G408)</f>
        <v>6</v>
      </c>
      <c r="D408">
        <f>YEAR(G408)</f>
        <v>2023</v>
      </c>
      <c r="E408" t="str">
        <f>TEXT(G408,"DDDD")</f>
        <v>Sunday</v>
      </c>
      <c r="F408" t="str">
        <f>TEXT(G408,"MMMM")</f>
        <v>June</v>
      </c>
      <c r="G408" s="3">
        <v>45102</v>
      </c>
      <c r="H408" s="4" t="s">
        <v>440</v>
      </c>
      <c r="I408" s="4" t="s">
        <v>3</v>
      </c>
      <c r="J408" s="4" t="str">
        <f>IF(K408&lt;30, "Young Adult","Adult")</f>
        <v>Adult</v>
      </c>
      <c r="K408" s="4">
        <v>46</v>
      </c>
      <c r="L408" s="4" t="s">
        <v>8</v>
      </c>
      <c r="M408" s="4">
        <v>3</v>
      </c>
      <c r="N408" s="5">
        <v>300</v>
      </c>
      <c r="O408">
        <f>(M408*N408)</f>
        <v>900</v>
      </c>
      <c r="P408">
        <f>O408*$S$3</f>
        <v>13.5</v>
      </c>
      <c r="Q408">
        <f>O408*$S$4</f>
        <v>18</v>
      </c>
    </row>
    <row r="409" spans="1:17">
      <c r="A409" s="2">
        <v>408</v>
      </c>
      <c r="B409" s="4">
        <f>DAY(G409)</f>
        <v>15</v>
      </c>
      <c r="C409">
        <f>MONTH(G409)</f>
        <v>4</v>
      </c>
      <c r="D409">
        <f>YEAR(G409)</f>
        <v>2023</v>
      </c>
      <c r="E409" t="str">
        <f>TEXT(G409,"DDDD")</f>
        <v>Saturday</v>
      </c>
      <c r="F409" t="str">
        <f>TEXT(G409,"MMMM")</f>
        <v>April</v>
      </c>
      <c r="G409" s="3">
        <v>45031</v>
      </c>
      <c r="H409" s="4" t="s">
        <v>441</v>
      </c>
      <c r="I409" s="4" t="s">
        <v>3</v>
      </c>
      <c r="J409" s="4" t="str">
        <f>IF(K409&lt;30, "Young Adult","Adult")</f>
        <v>Adult</v>
      </c>
      <c r="K409" s="4">
        <v>64</v>
      </c>
      <c r="L409" s="4" t="s">
        <v>6</v>
      </c>
      <c r="M409" s="4">
        <v>1</v>
      </c>
      <c r="N409" s="5">
        <v>500</v>
      </c>
      <c r="O409">
        <f>(M409*N409)</f>
        <v>500</v>
      </c>
      <c r="P409">
        <f>O409*$S$3</f>
        <v>7.5</v>
      </c>
      <c r="Q409">
        <f>O409*$S$4</f>
        <v>10</v>
      </c>
    </row>
    <row r="410" spans="1:17">
      <c r="A410" s="2">
        <v>409</v>
      </c>
      <c r="B410" s="4">
        <f>DAY(G410)</f>
        <v>18</v>
      </c>
      <c r="C410">
        <f>MONTH(G410)</f>
        <v>12</v>
      </c>
      <c r="D410">
        <f>YEAR(G410)</f>
        <v>2023</v>
      </c>
      <c r="E410" t="str">
        <f>TEXT(G410,"DDDD")</f>
        <v>Monday</v>
      </c>
      <c r="F410" t="str">
        <f>TEXT(G410,"MMMM")</f>
        <v>December</v>
      </c>
      <c r="G410" s="3">
        <v>45278</v>
      </c>
      <c r="H410" s="4" t="s">
        <v>442</v>
      </c>
      <c r="I410" s="4" t="s">
        <v>3</v>
      </c>
      <c r="J410" s="4" t="str">
        <f>IF(K410&lt;30, "Young Adult","Adult")</f>
        <v>Young Adult</v>
      </c>
      <c r="K410" s="4">
        <v>21</v>
      </c>
      <c r="L410" s="4" t="s">
        <v>8</v>
      </c>
      <c r="M410" s="4">
        <v>3</v>
      </c>
      <c r="N410" s="5">
        <v>300</v>
      </c>
      <c r="O410">
        <f>(M410*N410)</f>
        <v>900</v>
      </c>
      <c r="P410">
        <f>O410*$S$3</f>
        <v>13.5</v>
      </c>
      <c r="Q410">
        <f>O410*$S$4</f>
        <v>18</v>
      </c>
    </row>
    <row r="411" spans="1:17">
      <c r="A411" s="2">
        <v>410</v>
      </c>
      <c r="B411" s="4">
        <f>DAY(G411)</f>
        <v>21</v>
      </c>
      <c r="C411">
        <f>MONTH(G411)</f>
        <v>11</v>
      </c>
      <c r="D411">
        <f>YEAR(G411)</f>
        <v>2023</v>
      </c>
      <c r="E411" t="str">
        <f>TEXT(G411,"DDDD")</f>
        <v>Tuesday</v>
      </c>
      <c r="F411" t="str">
        <f>TEXT(G411,"MMMM")</f>
        <v>November</v>
      </c>
      <c r="G411" s="3">
        <v>45251</v>
      </c>
      <c r="H411" s="4" t="s">
        <v>443</v>
      </c>
      <c r="I411" s="4" t="s">
        <v>3</v>
      </c>
      <c r="J411" s="4" t="str">
        <f>IF(K411&lt;30, "Young Adult","Adult")</f>
        <v>Young Adult</v>
      </c>
      <c r="K411" s="4">
        <v>29</v>
      </c>
      <c r="L411" s="4" t="s">
        <v>7</v>
      </c>
      <c r="M411" s="4">
        <v>2</v>
      </c>
      <c r="N411" s="5">
        <v>50</v>
      </c>
      <c r="O411">
        <f>(M411*N411)</f>
        <v>100</v>
      </c>
      <c r="P411">
        <f>O411*$S$3</f>
        <v>1.5</v>
      </c>
      <c r="Q411">
        <f>O411*$S$4</f>
        <v>2</v>
      </c>
    </row>
    <row r="412" spans="1:17">
      <c r="A412" s="2">
        <v>411</v>
      </c>
      <c r="B412" s="4">
        <f>DAY(G412)</f>
        <v>16</v>
      </c>
      <c r="C412">
        <f>MONTH(G412)</f>
        <v>5</v>
      </c>
      <c r="D412">
        <f>YEAR(G412)</f>
        <v>2023</v>
      </c>
      <c r="E412" t="str">
        <f>TEXT(G412,"DDDD")</f>
        <v>Tuesday</v>
      </c>
      <c r="F412" t="str">
        <f>TEXT(G412,"MMMM")</f>
        <v>May</v>
      </c>
      <c r="G412" s="3">
        <v>45062</v>
      </c>
      <c r="H412" s="4" t="s">
        <v>444</v>
      </c>
      <c r="I412" s="4" t="s">
        <v>4</v>
      </c>
      <c r="J412" s="4" t="str">
        <f>IF(K412&lt;30, "Young Adult","Adult")</f>
        <v>Adult</v>
      </c>
      <c r="K412" s="4">
        <v>62</v>
      </c>
      <c r="L412" s="4" t="s">
        <v>8</v>
      </c>
      <c r="M412" s="4">
        <v>4</v>
      </c>
      <c r="N412" s="5">
        <v>50</v>
      </c>
      <c r="O412">
        <f>(M412*N412)</f>
        <v>200</v>
      </c>
      <c r="P412">
        <f>O412*$S$3</f>
        <v>3</v>
      </c>
      <c r="Q412">
        <f>O412*$S$4</f>
        <v>4</v>
      </c>
    </row>
    <row r="413" spans="1:17">
      <c r="A413" s="2">
        <v>412</v>
      </c>
      <c r="B413" s="4">
        <f>DAY(G413)</f>
        <v>16</v>
      </c>
      <c r="C413">
        <f>MONTH(G413)</f>
        <v>9</v>
      </c>
      <c r="D413">
        <f>YEAR(G413)</f>
        <v>2023</v>
      </c>
      <c r="E413" t="str">
        <f>TEXT(G413,"DDDD")</f>
        <v>Saturday</v>
      </c>
      <c r="F413" t="str">
        <f>TEXT(G413,"MMMM")</f>
        <v>September</v>
      </c>
      <c r="G413" s="3">
        <v>45185</v>
      </c>
      <c r="H413" s="4" t="s">
        <v>445</v>
      </c>
      <c r="I413" s="4" t="s">
        <v>3</v>
      </c>
      <c r="J413" s="4" t="str">
        <f>IF(K413&lt;30, "Young Adult","Adult")</f>
        <v>Young Adult</v>
      </c>
      <c r="K413" s="4">
        <v>19</v>
      </c>
      <c r="L413" s="4" t="s">
        <v>8</v>
      </c>
      <c r="M413" s="4">
        <v>4</v>
      </c>
      <c r="N413" s="5">
        <v>500</v>
      </c>
      <c r="O413">
        <f>(M413*N413)</f>
        <v>2000</v>
      </c>
      <c r="P413">
        <f>O413*$S$3</f>
        <v>30</v>
      </c>
      <c r="Q413">
        <f>O413*$S$4</f>
        <v>40</v>
      </c>
    </row>
    <row r="414" spans="1:17">
      <c r="A414" s="2">
        <v>413</v>
      </c>
      <c r="B414" s="4">
        <f>DAY(G414)</f>
        <v>8</v>
      </c>
      <c r="C414">
        <f>MONTH(G414)</f>
        <v>9</v>
      </c>
      <c r="D414">
        <f>YEAR(G414)</f>
        <v>2023</v>
      </c>
      <c r="E414" t="str">
        <f>TEXT(G414,"DDDD")</f>
        <v>Friday</v>
      </c>
      <c r="F414" t="str">
        <f>TEXT(G414,"MMMM")</f>
        <v>September</v>
      </c>
      <c r="G414" s="3">
        <v>45177</v>
      </c>
      <c r="H414" s="4" t="s">
        <v>446</v>
      </c>
      <c r="I414" s="4" t="s">
        <v>3</v>
      </c>
      <c r="J414" s="4" t="str">
        <f>IF(K414&lt;30, "Young Adult","Adult")</f>
        <v>Adult</v>
      </c>
      <c r="K414" s="4">
        <v>44</v>
      </c>
      <c r="L414" s="4" t="s">
        <v>6</v>
      </c>
      <c r="M414" s="4">
        <v>3</v>
      </c>
      <c r="N414" s="5">
        <v>25</v>
      </c>
      <c r="O414">
        <f>(M414*N414)</f>
        <v>75</v>
      </c>
      <c r="P414">
        <f>O414*$S$3</f>
        <v>1.125</v>
      </c>
      <c r="Q414">
        <f>O414*$S$4</f>
        <v>1.5</v>
      </c>
    </row>
    <row r="415" spans="1:17">
      <c r="A415" s="2">
        <v>414</v>
      </c>
      <c r="B415" s="4">
        <f>DAY(G415)</f>
        <v>9</v>
      </c>
      <c r="C415">
        <f>MONTH(G415)</f>
        <v>5</v>
      </c>
      <c r="D415">
        <f>YEAR(G415)</f>
        <v>2023</v>
      </c>
      <c r="E415" t="str">
        <f>TEXT(G415,"DDDD")</f>
        <v>Tuesday</v>
      </c>
      <c r="F415" t="str">
        <f>TEXT(G415,"MMMM")</f>
        <v>May</v>
      </c>
      <c r="G415" s="3">
        <v>45055</v>
      </c>
      <c r="H415" s="4" t="s">
        <v>447</v>
      </c>
      <c r="I415" s="4" t="s">
        <v>4</v>
      </c>
      <c r="J415" s="4" t="str">
        <f>IF(K415&lt;30, "Young Adult","Adult")</f>
        <v>Adult</v>
      </c>
      <c r="K415" s="4">
        <v>48</v>
      </c>
      <c r="L415" s="4" t="s">
        <v>6</v>
      </c>
      <c r="M415" s="4">
        <v>4</v>
      </c>
      <c r="N415" s="5">
        <v>25</v>
      </c>
      <c r="O415">
        <f>(M415*N415)</f>
        <v>100</v>
      </c>
      <c r="P415">
        <f>O415*$S$3</f>
        <v>1.5</v>
      </c>
      <c r="Q415">
        <f>O415*$S$4</f>
        <v>2</v>
      </c>
    </row>
    <row r="416" spans="1:17">
      <c r="A416" s="2">
        <v>415</v>
      </c>
      <c r="B416" s="4">
        <f>DAY(G416)</f>
        <v>27</v>
      </c>
      <c r="C416">
        <f>MONTH(G416)</f>
        <v>1</v>
      </c>
      <c r="D416">
        <f>YEAR(G416)</f>
        <v>2023</v>
      </c>
      <c r="E416" t="str">
        <f>TEXT(G416,"DDDD")</f>
        <v>Friday</v>
      </c>
      <c r="F416" t="str">
        <f>TEXT(G416,"MMMM")</f>
        <v>January</v>
      </c>
      <c r="G416" s="3">
        <v>44953</v>
      </c>
      <c r="H416" s="4" t="s">
        <v>448</v>
      </c>
      <c r="I416" s="4" t="s">
        <v>4</v>
      </c>
      <c r="J416" s="4" t="str">
        <f>IF(K416&lt;30, "Young Adult","Adult")</f>
        <v>Adult</v>
      </c>
      <c r="K416" s="4">
        <v>53</v>
      </c>
      <c r="L416" s="4" t="s">
        <v>7</v>
      </c>
      <c r="M416" s="4">
        <v>2</v>
      </c>
      <c r="N416" s="5">
        <v>30</v>
      </c>
      <c r="O416">
        <f>(M416*N416)</f>
        <v>60</v>
      </c>
      <c r="P416">
        <f>O416*$S$3</f>
        <v>0.89999999999999991</v>
      </c>
      <c r="Q416">
        <f>O416*$S$4</f>
        <v>1.2</v>
      </c>
    </row>
    <row r="417" spans="1:17">
      <c r="A417" s="2">
        <v>416</v>
      </c>
      <c r="B417" s="4">
        <f>DAY(G417)</f>
        <v>17</v>
      </c>
      <c r="C417">
        <f>MONTH(G417)</f>
        <v>2</v>
      </c>
      <c r="D417">
        <f>YEAR(G417)</f>
        <v>2023</v>
      </c>
      <c r="E417" t="str">
        <f>TEXT(G417,"DDDD")</f>
        <v>Friday</v>
      </c>
      <c r="F417" t="str">
        <f>TEXT(G417,"MMMM")</f>
        <v>February</v>
      </c>
      <c r="G417" s="3">
        <v>44974</v>
      </c>
      <c r="H417" s="4" t="s">
        <v>449</v>
      </c>
      <c r="I417" s="4" t="s">
        <v>4</v>
      </c>
      <c r="J417" s="4" t="str">
        <f>IF(K417&lt;30, "Young Adult","Adult")</f>
        <v>Adult</v>
      </c>
      <c r="K417" s="4">
        <v>53</v>
      </c>
      <c r="L417" s="4" t="s">
        <v>8</v>
      </c>
      <c r="M417" s="4">
        <v>4</v>
      </c>
      <c r="N417" s="5">
        <v>500</v>
      </c>
      <c r="O417">
        <f>(M417*N417)</f>
        <v>2000</v>
      </c>
      <c r="P417">
        <f>O417*$S$3</f>
        <v>30</v>
      </c>
      <c r="Q417">
        <f>O417*$S$4</f>
        <v>40</v>
      </c>
    </row>
    <row r="418" spans="1:17">
      <c r="A418" s="2">
        <v>417</v>
      </c>
      <c r="B418" s="4">
        <f>DAY(G418)</f>
        <v>21</v>
      </c>
      <c r="C418">
        <f>MONTH(G418)</f>
        <v>11</v>
      </c>
      <c r="D418">
        <f>YEAR(G418)</f>
        <v>2023</v>
      </c>
      <c r="E418" t="str">
        <f>TEXT(G418,"DDDD")</f>
        <v>Tuesday</v>
      </c>
      <c r="F418" t="str">
        <f>TEXT(G418,"MMMM")</f>
        <v>November</v>
      </c>
      <c r="G418" s="3">
        <v>45251</v>
      </c>
      <c r="H418" s="4" t="s">
        <v>450</v>
      </c>
      <c r="I418" s="4" t="s">
        <v>4</v>
      </c>
      <c r="J418" s="4" t="str">
        <f>IF(K418&lt;30, "Young Adult","Adult")</f>
        <v>Adult</v>
      </c>
      <c r="K418" s="4">
        <v>43</v>
      </c>
      <c r="L418" s="4" t="s">
        <v>8</v>
      </c>
      <c r="M418" s="4">
        <v>3</v>
      </c>
      <c r="N418" s="5">
        <v>300</v>
      </c>
      <c r="O418">
        <f>(M418*N418)</f>
        <v>900</v>
      </c>
      <c r="P418">
        <f>O418*$S$3</f>
        <v>13.5</v>
      </c>
      <c r="Q418">
        <f>O418*$S$4</f>
        <v>18</v>
      </c>
    </row>
    <row r="419" spans="1:17">
      <c r="A419" s="2">
        <v>418</v>
      </c>
      <c r="B419" s="4">
        <f>DAY(G419)</f>
        <v>5</v>
      </c>
      <c r="C419">
        <f>MONTH(G419)</f>
        <v>8</v>
      </c>
      <c r="D419">
        <f>YEAR(G419)</f>
        <v>2023</v>
      </c>
      <c r="E419" t="str">
        <f>TEXT(G419,"DDDD")</f>
        <v>Saturday</v>
      </c>
      <c r="F419" t="str">
        <f>TEXT(G419,"MMMM")</f>
        <v>August</v>
      </c>
      <c r="G419" s="3">
        <v>45143</v>
      </c>
      <c r="H419" s="4" t="s">
        <v>451</v>
      </c>
      <c r="I419" s="4" t="s">
        <v>3</v>
      </c>
      <c r="J419" s="4" t="str">
        <f>IF(K419&lt;30, "Young Adult","Adult")</f>
        <v>Adult</v>
      </c>
      <c r="K419" s="4">
        <v>60</v>
      </c>
      <c r="L419" s="4" t="s">
        <v>8</v>
      </c>
      <c r="M419" s="4">
        <v>2</v>
      </c>
      <c r="N419" s="5">
        <v>500</v>
      </c>
      <c r="O419">
        <f>(M419*N419)</f>
        <v>1000</v>
      </c>
      <c r="P419">
        <f>O419*$S$3</f>
        <v>15</v>
      </c>
      <c r="Q419">
        <f>O419*$S$4</f>
        <v>20</v>
      </c>
    </row>
    <row r="420" spans="1:17">
      <c r="A420" s="2">
        <v>419</v>
      </c>
      <c r="B420" s="4">
        <f>DAY(G420)</f>
        <v>22</v>
      </c>
      <c r="C420">
        <f>MONTH(G420)</f>
        <v>5</v>
      </c>
      <c r="D420">
        <f>YEAR(G420)</f>
        <v>2023</v>
      </c>
      <c r="E420" t="str">
        <f>TEXT(G420,"DDDD")</f>
        <v>Monday</v>
      </c>
      <c r="F420" t="str">
        <f>TEXT(G420,"MMMM")</f>
        <v>May</v>
      </c>
      <c r="G420" s="3">
        <v>45068</v>
      </c>
      <c r="H420" s="4" t="s">
        <v>452</v>
      </c>
      <c r="I420" s="4" t="s">
        <v>3</v>
      </c>
      <c r="J420" s="4" t="str">
        <f>IF(K420&lt;30, "Young Adult","Adult")</f>
        <v>Adult</v>
      </c>
      <c r="K420" s="4">
        <v>44</v>
      </c>
      <c r="L420" s="4" t="s">
        <v>7</v>
      </c>
      <c r="M420" s="4">
        <v>3</v>
      </c>
      <c r="N420" s="5">
        <v>30</v>
      </c>
      <c r="O420">
        <f>(M420*N420)</f>
        <v>90</v>
      </c>
      <c r="P420">
        <f>O420*$S$3</f>
        <v>1.3499999999999999</v>
      </c>
      <c r="Q420">
        <f>O420*$S$4</f>
        <v>1.8</v>
      </c>
    </row>
    <row r="421" spans="1:17">
      <c r="A421" s="2">
        <v>420</v>
      </c>
      <c r="B421" s="4">
        <f>DAY(G421)</f>
        <v>23</v>
      </c>
      <c r="C421">
        <f>MONTH(G421)</f>
        <v>1</v>
      </c>
      <c r="D421">
        <f>YEAR(G421)</f>
        <v>2023</v>
      </c>
      <c r="E421" t="str">
        <f>TEXT(G421,"DDDD")</f>
        <v>Monday</v>
      </c>
      <c r="F421" t="str">
        <f>TEXT(G421,"MMMM")</f>
        <v>January</v>
      </c>
      <c r="G421" s="3">
        <v>44949</v>
      </c>
      <c r="H421" s="4" t="s">
        <v>453</v>
      </c>
      <c r="I421" s="4" t="s">
        <v>3</v>
      </c>
      <c r="J421" s="4" t="str">
        <f>IF(K421&lt;30, "Young Adult","Adult")</f>
        <v>Young Adult</v>
      </c>
      <c r="K421" s="4">
        <v>22</v>
      </c>
      <c r="L421" s="4" t="s">
        <v>7</v>
      </c>
      <c r="M421" s="4">
        <v>4</v>
      </c>
      <c r="N421" s="5">
        <v>500</v>
      </c>
      <c r="O421">
        <f>(M421*N421)</f>
        <v>2000</v>
      </c>
      <c r="P421">
        <f>O421*$S$3</f>
        <v>30</v>
      </c>
      <c r="Q421">
        <f>O421*$S$4</f>
        <v>40</v>
      </c>
    </row>
    <row r="422" spans="1:17">
      <c r="A422" s="2">
        <v>421</v>
      </c>
      <c r="B422" s="4">
        <f>DAY(G422)</f>
        <v>2</v>
      </c>
      <c r="C422">
        <f>MONTH(G422)</f>
        <v>1</v>
      </c>
      <c r="D422">
        <f>YEAR(G422)</f>
        <v>2023</v>
      </c>
      <c r="E422" t="str">
        <f>TEXT(G422,"DDDD")</f>
        <v>Monday</v>
      </c>
      <c r="F422" t="str">
        <f>TEXT(G422,"MMMM")</f>
        <v>January</v>
      </c>
      <c r="G422" s="3">
        <v>44928</v>
      </c>
      <c r="H422" s="4" t="s">
        <v>454</v>
      </c>
      <c r="I422" s="4" t="s">
        <v>3</v>
      </c>
      <c r="J422" s="4" t="str">
        <f>IF(K422&lt;30, "Young Adult","Adult")</f>
        <v>Adult</v>
      </c>
      <c r="K422" s="4">
        <v>37</v>
      </c>
      <c r="L422" s="4" t="s">
        <v>7</v>
      </c>
      <c r="M422" s="4">
        <v>3</v>
      </c>
      <c r="N422" s="5">
        <v>500</v>
      </c>
      <c r="O422">
        <f>(M422*N422)</f>
        <v>1500</v>
      </c>
      <c r="P422">
        <f>O422*$S$3</f>
        <v>22.5</v>
      </c>
      <c r="Q422">
        <f>O422*$S$4</f>
        <v>30</v>
      </c>
    </row>
    <row r="423" spans="1:17">
      <c r="A423" s="2">
        <v>422</v>
      </c>
      <c r="B423" s="4">
        <f>DAY(G423)</f>
        <v>20</v>
      </c>
      <c r="C423">
        <f>MONTH(G423)</f>
        <v>6</v>
      </c>
      <c r="D423">
        <f>YEAR(G423)</f>
        <v>2023</v>
      </c>
      <c r="E423" t="str">
        <f>TEXT(G423,"DDDD")</f>
        <v>Tuesday</v>
      </c>
      <c r="F423" t="str">
        <f>TEXT(G423,"MMMM")</f>
        <v>June</v>
      </c>
      <c r="G423" s="3">
        <v>45097</v>
      </c>
      <c r="H423" s="4" t="s">
        <v>455</v>
      </c>
      <c r="I423" s="4" t="s">
        <v>3</v>
      </c>
      <c r="J423" s="4" t="str">
        <f>IF(K423&lt;30, "Young Adult","Adult")</f>
        <v>Young Adult</v>
      </c>
      <c r="K423" s="4">
        <v>28</v>
      </c>
      <c r="L423" s="4" t="s">
        <v>7</v>
      </c>
      <c r="M423" s="4">
        <v>3</v>
      </c>
      <c r="N423" s="5">
        <v>30</v>
      </c>
      <c r="O423">
        <f>(M423*N423)</f>
        <v>90</v>
      </c>
      <c r="P423">
        <f>O423*$S$3</f>
        <v>1.3499999999999999</v>
      </c>
      <c r="Q423">
        <f>O423*$S$4</f>
        <v>1.8</v>
      </c>
    </row>
    <row r="424" spans="1:17">
      <c r="A424" s="2">
        <v>423</v>
      </c>
      <c r="B424" s="4">
        <f>DAY(G424)</f>
        <v>8</v>
      </c>
      <c r="C424">
        <f>MONTH(G424)</f>
        <v>3</v>
      </c>
      <c r="D424">
        <f>YEAR(G424)</f>
        <v>2023</v>
      </c>
      <c r="E424" t="str">
        <f>TEXT(G424,"DDDD")</f>
        <v>Wednesday</v>
      </c>
      <c r="F424" t="str">
        <f>TEXT(G424,"MMMM")</f>
        <v>March</v>
      </c>
      <c r="G424" s="3">
        <v>44993</v>
      </c>
      <c r="H424" s="4" t="s">
        <v>456</v>
      </c>
      <c r="I424" s="4" t="s">
        <v>3</v>
      </c>
      <c r="J424" s="4" t="str">
        <f>IF(K424&lt;30, "Young Adult","Adult")</f>
        <v>Young Adult</v>
      </c>
      <c r="K424" s="4">
        <v>27</v>
      </c>
      <c r="L424" s="4" t="s">
        <v>7</v>
      </c>
      <c r="M424" s="4">
        <v>1</v>
      </c>
      <c r="N424" s="5">
        <v>25</v>
      </c>
      <c r="O424">
        <f>(M424*N424)</f>
        <v>25</v>
      </c>
      <c r="P424">
        <f>O424*$S$3</f>
        <v>0.375</v>
      </c>
      <c r="Q424">
        <f>O424*$S$4</f>
        <v>0.5</v>
      </c>
    </row>
    <row r="425" spans="1:17">
      <c r="A425" s="2">
        <v>424</v>
      </c>
      <c r="B425" s="4">
        <f>DAY(G425)</f>
        <v>23</v>
      </c>
      <c r="C425">
        <f>MONTH(G425)</f>
        <v>11</v>
      </c>
      <c r="D425">
        <f>YEAR(G425)</f>
        <v>2023</v>
      </c>
      <c r="E425" t="str">
        <f>TEXT(G425,"DDDD")</f>
        <v>Thursday</v>
      </c>
      <c r="F425" t="str">
        <f>TEXT(G425,"MMMM")</f>
        <v>November</v>
      </c>
      <c r="G425" s="3">
        <v>45253</v>
      </c>
      <c r="H425" s="4" t="s">
        <v>457</v>
      </c>
      <c r="I425" s="4" t="s">
        <v>4</v>
      </c>
      <c r="J425" s="4" t="str">
        <f>IF(K425&lt;30, "Young Adult","Adult")</f>
        <v>Adult</v>
      </c>
      <c r="K425" s="4">
        <v>57</v>
      </c>
      <c r="L425" s="4" t="s">
        <v>6</v>
      </c>
      <c r="M425" s="4">
        <v>4</v>
      </c>
      <c r="N425" s="5">
        <v>300</v>
      </c>
      <c r="O425">
        <f>(M425*N425)</f>
        <v>1200</v>
      </c>
      <c r="P425">
        <f>O425*$S$3</f>
        <v>18</v>
      </c>
      <c r="Q425">
        <f>O425*$S$4</f>
        <v>24</v>
      </c>
    </row>
    <row r="426" spans="1:17">
      <c r="A426" s="2">
        <v>425</v>
      </c>
      <c r="B426" s="4">
        <f>DAY(G426)</f>
        <v>15</v>
      </c>
      <c r="C426">
        <f>MONTH(G426)</f>
        <v>5</v>
      </c>
      <c r="D426">
        <f>YEAR(G426)</f>
        <v>2023</v>
      </c>
      <c r="E426" t="str">
        <f>TEXT(G426,"DDDD")</f>
        <v>Monday</v>
      </c>
      <c r="F426" t="str">
        <f>TEXT(G426,"MMMM")</f>
        <v>May</v>
      </c>
      <c r="G426" s="3">
        <v>45061</v>
      </c>
      <c r="H426" s="4" t="s">
        <v>458</v>
      </c>
      <c r="I426" s="4" t="s">
        <v>3</v>
      </c>
      <c r="J426" s="4" t="str">
        <f>IF(K426&lt;30, "Young Adult","Adult")</f>
        <v>Adult</v>
      </c>
      <c r="K426" s="4">
        <v>55</v>
      </c>
      <c r="L426" s="4" t="s">
        <v>8</v>
      </c>
      <c r="M426" s="4">
        <v>4</v>
      </c>
      <c r="N426" s="5">
        <v>30</v>
      </c>
      <c r="O426">
        <f>(M426*N426)</f>
        <v>120</v>
      </c>
      <c r="P426">
        <f>O426*$S$3</f>
        <v>1.7999999999999998</v>
      </c>
      <c r="Q426">
        <f>O426*$S$4</f>
        <v>2.4</v>
      </c>
    </row>
    <row r="427" spans="1:17">
      <c r="A427" s="2">
        <v>426</v>
      </c>
      <c r="B427" s="4">
        <f>DAY(G427)</f>
        <v>24</v>
      </c>
      <c r="C427">
        <f>MONTH(G427)</f>
        <v>3</v>
      </c>
      <c r="D427">
        <f>YEAR(G427)</f>
        <v>2023</v>
      </c>
      <c r="E427" t="str">
        <f>TEXT(G427,"DDDD")</f>
        <v>Friday</v>
      </c>
      <c r="F427" t="str">
        <f>TEXT(G427,"MMMM")</f>
        <v>March</v>
      </c>
      <c r="G427" s="3">
        <v>45009</v>
      </c>
      <c r="H427" s="4" t="s">
        <v>459</v>
      </c>
      <c r="I427" s="4" t="s">
        <v>4</v>
      </c>
      <c r="J427" s="4" t="str">
        <f>IF(K427&lt;30, "Young Adult","Adult")</f>
        <v>Young Adult</v>
      </c>
      <c r="K427" s="4">
        <v>23</v>
      </c>
      <c r="L427" s="4" t="s">
        <v>8</v>
      </c>
      <c r="M427" s="4">
        <v>3</v>
      </c>
      <c r="N427" s="5">
        <v>50</v>
      </c>
      <c r="O427">
        <f>(M427*N427)</f>
        <v>150</v>
      </c>
      <c r="P427">
        <f>O427*$S$3</f>
        <v>2.25</v>
      </c>
      <c r="Q427">
        <f>O427*$S$4</f>
        <v>3</v>
      </c>
    </row>
    <row r="428" spans="1:17">
      <c r="A428" s="2">
        <v>427</v>
      </c>
      <c r="B428" s="4">
        <f>DAY(G428)</f>
        <v>15</v>
      </c>
      <c r="C428">
        <f>MONTH(G428)</f>
        <v>8</v>
      </c>
      <c r="D428">
        <f>YEAR(G428)</f>
        <v>2023</v>
      </c>
      <c r="E428" t="str">
        <f>TEXT(G428,"DDDD")</f>
        <v>Tuesday</v>
      </c>
      <c r="F428" t="str">
        <f>TEXT(G428,"MMMM")</f>
        <v>August</v>
      </c>
      <c r="G428" s="3">
        <v>45153</v>
      </c>
      <c r="H428" s="4" t="s">
        <v>460</v>
      </c>
      <c r="I428" s="4" t="s">
        <v>4</v>
      </c>
      <c r="J428" s="4" t="str">
        <f>IF(K428&lt;30, "Young Adult","Adult")</f>
        <v>Young Adult</v>
      </c>
      <c r="K428" s="4">
        <v>25</v>
      </c>
      <c r="L428" s="4" t="s">
        <v>8</v>
      </c>
      <c r="M428" s="4">
        <v>1</v>
      </c>
      <c r="N428" s="5">
        <v>25</v>
      </c>
      <c r="O428">
        <f>(M428*N428)</f>
        <v>25</v>
      </c>
      <c r="P428">
        <f>O428*$S$3</f>
        <v>0.375</v>
      </c>
      <c r="Q428">
        <f>O428*$S$4</f>
        <v>0.5</v>
      </c>
    </row>
    <row r="429" spans="1:17">
      <c r="A429" s="2">
        <v>428</v>
      </c>
      <c r="B429" s="4">
        <f>DAY(G429)</f>
        <v>10</v>
      </c>
      <c r="C429">
        <f>MONTH(G429)</f>
        <v>10</v>
      </c>
      <c r="D429">
        <f>YEAR(G429)</f>
        <v>2023</v>
      </c>
      <c r="E429" t="str">
        <f>TEXT(G429,"DDDD")</f>
        <v>Tuesday</v>
      </c>
      <c r="F429" t="str">
        <f>TEXT(G429,"MMMM")</f>
        <v>October</v>
      </c>
      <c r="G429" s="3">
        <v>45209</v>
      </c>
      <c r="H429" s="4" t="s">
        <v>461</v>
      </c>
      <c r="I429" s="4" t="s">
        <v>3</v>
      </c>
      <c r="J429" s="4" t="str">
        <f>IF(K429&lt;30, "Young Adult","Adult")</f>
        <v>Adult</v>
      </c>
      <c r="K429" s="4">
        <v>40</v>
      </c>
      <c r="L429" s="4" t="s">
        <v>8</v>
      </c>
      <c r="M429" s="4">
        <v>4</v>
      </c>
      <c r="N429" s="5">
        <v>50</v>
      </c>
      <c r="O429">
        <f>(M429*N429)</f>
        <v>200</v>
      </c>
      <c r="P429">
        <f>O429*$S$3</f>
        <v>3</v>
      </c>
      <c r="Q429">
        <f>O429*$S$4</f>
        <v>4</v>
      </c>
    </row>
    <row r="430" spans="1:17">
      <c r="A430" s="2">
        <v>429</v>
      </c>
      <c r="B430" s="4">
        <f>DAY(G430)</f>
        <v>28</v>
      </c>
      <c r="C430">
        <f>MONTH(G430)</f>
        <v>12</v>
      </c>
      <c r="D430">
        <f>YEAR(G430)</f>
        <v>2023</v>
      </c>
      <c r="E430" t="str">
        <f>TEXT(G430,"DDDD")</f>
        <v>Thursday</v>
      </c>
      <c r="F430" t="str">
        <f>TEXT(G430,"MMMM")</f>
        <v>December</v>
      </c>
      <c r="G430" s="3">
        <v>45288</v>
      </c>
      <c r="H430" s="4" t="s">
        <v>462</v>
      </c>
      <c r="I430" s="4" t="s">
        <v>4</v>
      </c>
      <c r="J430" s="4" t="str">
        <f>IF(K430&lt;30, "Young Adult","Adult")</f>
        <v>Adult</v>
      </c>
      <c r="K430" s="4">
        <v>64</v>
      </c>
      <c r="L430" s="4" t="s">
        <v>8</v>
      </c>
      <c r="M430" s="4">
        <v>2</v>
      </c>
      <c r="N430" s="5">
        <v>25</v>
      </c>
      <c r="O430">
        <f>(M430*N430)</f>
        <v>50</v>
      </c>
      <c r="P430">
        <f>O430*$S$3</f>
        <v>0.75</v>
      </c>
      <c r="Q430">
        <f>O430*$S$4</f>
        <v>1</v>
      </c>
    </row>
    <row r="431" spans="1:17">
      <c r="A431" s="2">
        <v>430</v>
      </c>
      <c r="B431" s="4">
        <f>DAY(G431)</f>
        <v>7</v>
      </c>
      <c r="C431">
        <f>MONTH(G431)</f>
        <v>8</v>
      </c>
      <c r="D431">
        <f>YEAR(G431)</f>
        <v>2023</v>
      </c>
      <c r="E431" t="str">
        <f>TEXT(G431,"DDDD")</f>
        <v>Monday</v>
      </c>
      <c r="F431" t="str">
        <f>TEXT(G431,"MMMM")</f>
        <v>August</v>
      </c>
      <c r="G431" s="3">
        <v>45145</v>
      </c>
      <c r="H431" s="4" t="s">
        <v>463</v>
      </c>
      <c r="I431" s="4" t="s">
        <v>3</v>
      </c>
      <c r="J431" s="4" t="str">
        <f>IF(K431&lt;30, "Young Adult","Adult")</f>
        <v>Adult</v>
      </c>
      <c r="K431" s="4">
        <v>43</v>
      </c>
      <c r="L431" s="4" t="s">
        <v>8</v>
      </c>
      <c r="M431" s="4">
        <v>3</v>
      </c>
      <c r="N431" s="5">
        <v>300</v>
      </c>
      <c r="O431">
        <f>(M431*N431)</f>
        <v>900</v>
      </c>
      <c r="P431">
        <f>O431*$S$3</f>
        <v>13.5</v>
      </c>
      <c r="Q431">
        <f>O431*$S$4</f>
        <v>18</v>
      </c>
    </row>
    <row r="432" spans="1:17">
      <c r="A432" s="2">
        <v>431</v>
      </c>
      <c r="B432" s="4">
        <f>DAY(G432)</f>
        <v>15</v>
      </c>
      <c r="C432">
        <f>MONTH(G432)</f>
        <v>10</v>
      </c>
      <c r="D432">
        <f>YEAR(G432)</f>
        <v>2023</v>
      </c>
      <c r="E432" t="str">
        <f>TEXT(G432,"DDDD")</f>
        <v>Sunday</v>
      </c>
      <c r="F432" t="str">
        <f>TEXT(G432,"MMMM")</f>
        <v>October</v>
      </c>
      <c r="G432" s="3">
        <v>45214</v>
      </c>
      <c r="H432" s="4" t="s">
        <v>464</v>
      </c>
      <c r="I432" s="4" t="s">
        <v>4</v>
      </c>
      <c r="J432" s="4" t="str">
        <f>IF(K432&lt;30, "Young Adult","Adult")</f>
        <v>Adult</v>
      </c>
      <c r="K432" s="4">
        <v>63</v>
      </c>
      <c r="L432" s="4" t="s">
        <v>8</v>
      </c>
      <c r="M432" s="4">
        <v>4</v>
      </c>
      <c r="N432" s="5">
        <v>300</v>
      </c>
      <c r="O432">
        <f>(M432*N432)</f>
        <v>1200</v>
      </c>
      <c r="P432">
        <f>O432*$S$3</f>
        <v>18</v>
      </c>
      <c r="Q432">
        <f>O432*$S$4</f>
        <v>24</v>
      </c>
    </row>
    <row r="433" spans="1:17">
      <c r="A433" s="2">
        <v>432</v>
      </c>
      <c r="B433" s="4">
        <f>DAY(G433)</f>
        <v>5</v>
      </c>
      <c r="C433">
        <f>MONTH(G433)</f>
        <v>1</v>
      </c>
      <c r="D433">
        <f>YEAR(G433)</f>
        <v>2023</v>
      </c>
      <c r="E433" t="str">
        <f>TEXT(G433,"DDDD")</f>
        <v>Thursday</v>
      </c>
      <c r="F433" t="str">
        <f>TEXT(G433,"MMMM")</f>
        <v>January</v>
      </c>
      <c r="G433" s="3">
        <v>44931</v>
      </c>
      <c r="H433" s="4" t="s">
        <v>465</v>
      </c>
      <c r="I433" s="4" t="s">
        <v>3</v>
      </c>
      <c r="J433" s="4" t="str">
        <f>IF(K433&lt;30, "Young Adult","Adult")</f>
        <v>Adult</v>
      </c>
      <c r="K433" s="4">
        <v>60</v>
      </c>
      <c r="L433" s="4" t="s">
        <v>8</v>
      </c>
      <c r="M433" s="4">
        <v>2</v>
      </c>
      <c r="N433" s="5">
        <v>500</v>
      </c>
      <c r="O433">
        <f>(M433*N433)</f>
        <v>1000</v>
      </c>
      <c r="P433">
        <f>O433*$S$3</f>
        <v>15</v>
      </c>
      <c r="Q433">
        <f>O433*$S$4</f>
        <v>20</v>
      </c>
    </row>
    <row r="434" spans="1:17">
      <c r="A434" s="2">
        <v>433</v>
      </c>
      <c r="B434" s="4">
        <f>DAY(G434)</f>
        <v>27</v>
      </c>
      <c r="C434">
        <f>MONTH(G434)</f>
        <v>2</v>
      </c>
      <c r="D434">
        <f>YEAR(G434)</f>
        <v>2023</v>
      </c>
      <c r="E434" t="str">
        <f>TEXT(G434,"DDDD")</f>
        <v>Monday</v>
      </c>
      <c r="F434" t="str">
        <f>TEXT(G434,"MMMM")</f>
        <v>February</v>
      </c>
      <c r="G434" s="3">
        <v>44984</v>
      </c>
      <c r="H434" s="4" t="s">
        <v>466</v>
      </c>
      <c r="I434" s="4" t="s">
        <v>4</v>
      </c>
      <c r="J434" s="4" t="str">
        <f>IF(K434&lt;30, "Young Adult","Adult")</f>
        <v>Young Adult</v>
      </c>
      <c r="K434" s="4">
        <v>29</v>
      </c>
      <c r="L434" s="4" t="s">
        <v>6</v>
      </c>
      <c r="M434" s="4">
        <v>4</v>
      </c>
      <c r="N434" s="5">
        <v>50</v>
      </c>
      <c r="O434">
        <f>(M434*N434)</f>
        <v>200</v>
      </c>
      <c r="P434">
        <f>O434*$S$3</f>
        <v>3</v>
      </c>
      <c r="Q434">
        <f>O434*$S$4</f>
        <v>4</v>
      </c>
    </row>
    <row r="435" spans="1:17">
      <c r="A435" s="2">
        <v>434</v>
      </c>
      <c r="B435" s="4">
        <f>DAY(G435)</f>
        <v>8</v>
      </c>
      <c r="C435">
        <f>MONTH(G435)</f>
        <v>2</v>
      </c>
      <c r="D435">
        <f>YEAR(G435)</f>
        <v>2023</v>
      </c>
      <c r="E435" t="str">
        <f>TEXT(G435,"DDDD")</f>
        <v>Wednesday</v>
      </c>
      <c r="F435" t="str">
        <f>TEXT(G435,"MMMM")</f>
        <v>February</v>
      </c>
      <c r="G435" s="3">
        <v>44965</v>
      </c>
      <c r="H435" s="4" t="s">
        <v>467</v>
      </c>
      <c r="I435" s="4" t="s">
        <v>3</v>
      </c>
      <c r="J435" s="4" t="str">
        <f>IF(K435&lt;30, "Young Adult","Adult")</f>
        <v>Adult</v>
      </c>
      <c r="K435" s="4">
        <v>43</v>
      </c>
      <c r="L435" s="4" t="s">
        <v>8</v>
      </c>
      <c r="M435" s="4">
        <v>2</v>
      </c>
      <c r="N435" s="5">
        <v>25</v>
      </c>
      <c r="O435">
        <f>(M435*N435)</f>
        <v>50</v>
      </c>
      <c r="P435">
        <f>O435*$S$3</f>
        <v>0.75</v>
      </c>
      <c r="Q435">
        <f>O435*$S$4</f>
        <v>1</v>
      </c>
    </row>
    <row r="436" spans="1:17">
      <c r="A436" s="2">
        <v>435</v>
      </c>
      <c r="B436" s="4">
        <f>DAY(G436)</f>
        <v>20</v>
      </c>
      <c r="C436">
        <f>MONTH(G436)</f>
        <v>12</v>
      </c>
      <c r="D436">
        <f>YEAR(G436)</f>
        <v>2023</v>
      </c>
      <c r="E436" t="str">
        <f>TEXT(G436,"DDDD")</f>
        <v>Wednesday</v>
      </c>
      <c r="F436" t="str">
        <f>TEXT(G436,"MMMM")</f>
        <v>December</v>
      </c>
      <c r="G436" s="3">
        <v>45280</v>
      </c>
      <c r="H436" s="4" t="s">
        <v>468</v>
      </c>
      <c r="I436" s="4" t="s">
        <v>3</v>
      </c>
      <c r="J436" s="4" t="str">
        <f>IF(K436&lt;30, "Young Adult","Adult")</f>
        <v>Adult</v>
      </c>
      <c r="K436" s="4">
        <v>30</v>
      </c>
      <c r="L436" s="4" t="s">
        <v>6</v>
      </c>
      <c r="M436" s="4">
        <v>3</v>
      </c>
      <c r="N436" s="5">
        <v>300</v>
      </c>
      <c r="O436">
        <f>(M436*N436)</f>
        <v>900</v>
      </c>
      <c r="P436">
        <f>O436*$S$3</f>
        <v>13.5</v>
      </c>
      <c r="Q436">
        <f>O436*$S$4</f>
        <v>18</v>
      </c>
    </row>
    <row r="437" spans="1:17">
      <c r="A437" s="2">
        <v>436</v>
      </c>
      <c r="B437" s="4">
        <f>DAY(G437)</f>
        <v>18</v>
      </c>
      <c r="C437">
        <f>MONTH(G437)</f>
        <v>3</v>
      </c>
      <c r="D437">
        <f>YEAR(G437)</f>
        <v>2023</v>
      </c>
      <c r="E437" t="str">
        <f>TEXT(G437,"DDDD")</f>
        <v>Saturday</v>
      </c>
      <c r="F437" t="str">
        <f>TEXT(G437,"MMMM")</f>
        <v>March</v>
      </c>
      <c r="G437" s="3">
        <v>45003</v>
      </c>
      <c r="H437" s="4" t="s">
        <v>469</v>
      </c>
      <c r="I437" s="4" t="s">
        <v>3</v>
      </c>
      <c r="J437" s="4" t="str">
        <f>IF(K437&lt;30, "Young Adult","Adult")</f>
        <v>Adult</v>
      </c>
      <c r="K437" s="4">
        <v>57</v>
      </c>
      <c r="L437" s="4" t="s">
        <v>7</v>
      </c>
      <c r="M437" s="4">
        <v>4</v>
      </c>
      <c r="N437" s="5">
        <v>30</v>
      </c>
      <c r="O437">
        <f>(M437*N437)</f>
        <v>120</v>
      </c>
      <c r="P437">
        <f>O437*$S$3</f>
        <v>1.7999999999999998</v>
      </c>
      <c r="Q437">
        <f>O437*$S$4</f>
        <v>2.4</v>
      </c>
    </row>
    <row r="438" spans="1:17">
      <c r="A438" s="2">
        <v>437</v>
      </c>
      <c r="B438" s="4">
        <f>DAY(G438)</f>
        <v>7</v>
      </c>
      <c r="C438">
        <f>MONTH(G438)</f>
        <v>10</v>
      </c>
      <c r="D438">
        <f>YEAR(G438)</f>
        <v>2023</v>
      </c>
      <c r="E438" t="str">
        <f>TEXT(G438,"DDDD")</f>
        <v>Saturday</v>
      </c>
      <c r="F438" t="str">
        <f>TEXT(G438,"MMMM")</f>
        <v>October</v>
      </c>
      <c r="G438" s="3">
        <v>45206</v>
      </c>
      <c r="H438" s="4" t="s">
        <v>470</v>
      </c>
      <c r="I438" s="4" t="s">
        <v>3</v>
      </c>
      <c r="J438" s="4" t="str">
        <f>IF(K438&lt;30, "Young Adult","Adult")</f>
        <v>Adult</v>
      </c>
      <c r="K438" s="4">
        <v>35</v>
      </c>
      <c r="L438" s="4" t="s">
        <v>8</v>
      </c>
      <c r="M438" s="4">
        <v>4</v>
      </c>
      <c r="N438" s="5">
        <v>300</v>
      </c>
      <c r="O438">
        <f>(M438*N438)</f>
        <v>1200</v>
      </c>
      <c r="P438">
        <f>O438*$S$3</f>
        <v>18</v>
      </c>
      <c r="Q438">
        <f>O438*$S$4</f>
        <v>24</v>
      </c>
    </row>
    <row r="439" spans="1:17">
      <c r="A439" s="2">
        <v>438</v>
      </c>
      <c r="B439" s="4">
        <f>DAY(G439)</f>
        <v>19</v>
      </c>
      <c r="C439">
        <f>MONTH(G439)</f>
        <v>1</v>
      </c>
      <c r="D439">
        <f>YEAR(G439)</f>
        <v>2023</v>
      </c>
      <c r="E439" t="str">
        <f>TEXT(G439,"DDDD")</f>
        <v>Thursday</v>
      </c>
      <c r="F439" t="str">
        <f>TEXT(G439,"MMMM")</f>
        <v>January</v>
      </c>
      <c r="G439" s="3">
        <v>44945</v>
      </c>
      <c r="H439" s="4" t="s">
        <v>471</v>
      </c>
      <c r="I439" s="4" t="s">
        <v>3</v>
      </c>
      <c r="J439" s="4" t="str">
        <f>IF(K439&lt;30, "Young Adult","Adult")</f>
        <v>Adult</v>
      </c>
      <c r="K439" s="4">
        <v>42</v>
      </c>
      <c r="L439" s="4" t="s">
        <v>7</v>
      </c>
      <c r="M439" s="4">
        <v>1</v>
      </c>
      <c r="N439" s="5">
        <v>30</v>
      </c>
      <c r="O439">
        <f>(M439*N439)</f>
        <v>30</v>
      </c>
      <c r="P439">
        <f>O439*$S$3</f>
        <v>0.44999999999999996</v>
      </c>
      <c r="Q439">
        <f>O439*$S$4</f>
        <v>0.6</v>
      </c>
    </row>
    <row r="440" spans="1:17">
      <c r="A440" s="2">
        <v>439</v>
      </c>
      <c r="B440" s="4">
        <f>DAY(G440)</f>
        <v>9</v>
      </c>
      <c r="C440">
        <f>MONTH(G440)</f>
        <v>7</v>
      </c>
      <c r="D440">
        <f>YEAR(G440)</f>
        <v>2023</v>
      </c>
      <c r="E440" t="str">
        <f>TEXT(G440,"DDDD")</f>
        <v>Sunday</v>
      </c>
      <c r="F440" t="str">
        <f>TEXT(G440,"MMMM")</f>
        <v>July</v>
      </c>
      <c r="G440" s="3">
        <v>45116</v>
      </c>
      <c r="H440" s="4" t="s">
        <v>472</v>
      </c>
      <c r="I440" s="4" t="s">
        <v>4</v>
      </c>
      <c r="J440" s="4" t="str">
        <f>IF(K440&lt;30, "Young Adult","Adult")</f>
        <v>Adult</v>
      </c>
      <c r="K440" s="4">
        <v>50</v>
      </c>
      <c r="L440" s="4" t="s">
        <v>7</v>
      </c>
      <c r="M440" s="4">
        <v>3</v>
      </c>
      <c r="N440" s="5">
        <v>25</v>
      </c>
      <c r="O440">
        <f>(M440*N440)</f>
        <v>75</v>
      </c>
      <c r="P440">
        <f>O440*$S$3</f>
        <v>1.125</v>
      </c>
      <c r="Q440">
        <f>O440*$S$4</f>
        <v>1.5</v>
      </c>
    </row>
    <row r="441" spans="1:17">
      <c r="A441" s="2">
        <v>440</v>
      </c>
      <c r="B441" s="4">
        <f>DAY(G441)</f>
        <v>26</v>
      </c>
      <c r="C441">
        <f>MONTH(G441)</f>
        <v>10</v>
      </c>
      <c r="D441">
        <f>YEAR(G441)</f>
        <v>2023</v>
      </c>
      <c r="E441" t="str">
        <f>TEXT(G441,"DDDD")</f>
        <v>Thursday</v>
      </c>
      <c r="F441" t="str">
        <f>TEXT(G441,"MMMM")</f>
        <v>October</v>
      </c>
      <c r="G441" s="3">
        <v>45225</v>
      </c>
      <c r="H441" s="4" t="s">
        <v>473</v>
      </c>
      <c r="I441" s="4" t="s">
        <v>4</v>
      </c>
      <c r="J441" s="4" t="str">
        <f>IF(K441&lt;30, "Young Adult","Adult")</f>
        <v>Adult</v>
      </c>
      <c r="K441" s="4">
        <v>64</v>
      </c>
      <c r="L441" s="4" t="s">
        <v>7</v>
      </c>
      <c r="M441" s="4">
        <v>2</v>
      </c>
      <c r="N441" s="5">
        <v>300</v>
      </c>
      <c r="O441">
        <f>(M441*N441)</f>
        <v>600</v>
      </c>
      <c r="P441">
        <f>O441*$S$3</f>
        <v>9</v>
      </c>
      <c r="Q441">
        <f>O441*$S$4</f>
        <v>12</v>
      </c>
    </row>
    <row r="442" spans="1:17">
      <c r="A442" s="2">
        <v>441</v>
      </c>
      <c r="B442" s="4">
        <f>DAY(G442)</f>
        <v>10</v>
      </c>
      <c r="C442">
        <f>MONTH(G442)</f>
        <v>10</v>
      </c>
      <c r="D442">
        <f>YEAR(G442)</f>
        <v>2023</v>
      </c>
      <c r="E442" t="str">
        <f>TEXT(G442,"DDDD")</f>
        <v>Tuesday</v>
      </c>
      <c r="F442" t="str">
        <f>TEXT(G442,"MMMM")</f>
        <v>October</v>
      </c>
      <c r="G442" s="3">
        <v>45209</v>
      </c>
      <c r="H442" s="4" t="s">
        <v>474</v>
      </c>
      <c r="I442" s="4" t="s">
        <v>4</v>
      </c>
      <c r="J442" s="4" t="str">
        <f>IF(K442&lt;30, "Young Adult","Adult")</f>
        <v>Adult</v>
      </c>
      <c r="K442" s="4">
        <v>57</v>
      </c>
      <c r="L442" s="4" t="s">
        <v>6</v>
      </c>
      <c r="M442" s="4">
        <v>4</v>
      </c>
      <c r="N442" s="5">
        <v>300</v>
      </c>
      <c r="O442">
        <f>(M442*N442)</f>
        <v>1200</v>
      </c>
      <c r="P442">
        <f>O442*$S$3</f>
        <v>18</v>
      </c>
      <c r="Q442">
        <f>O442*$S$4</f>
        <v>24</v>
      </c>
    </row>
    <row r="443" spans="1:17">
      <c r="A443" s="2">
        <v>442</v>
      </c>
      <c r="B443" s="4">
        <f>DAY(G443)</f>
        <v>17</v>
      </c>
      <c r="C443">
        <f>MONTH(G443)</f>
        <v>3</v>
      </c>
      <c r="D443">
        <f>YEAR(G443)</f>
        <v>2023</v>
      </c>
      <c r="E443" t="str">
        <f>TEXT(G443,"DDDD")</f>
        <v>Friday</v>
      </c>
      <c r="F443" t="str">
        <f>TEXT(G443,"MMMM")</f>
        <v>March</v>
      </c>
      <c r="G443" s="3">
        <v>45002</v>
      </c>
      <c r="H443" s="4" t="s">
        <v>475</v>
      </c>
      <c r="I443" s="4" t="s">
        <v>3</v>
      </c>
      <c r="J443" s="4" t="str">
        <f>IF(K443&lt;30, "Young Adult","Adult")</f>
        <v>Adult</v>
      </c>
      <c r="K443" s="4">
        <v>60</v>
      </c>
      <c r="L443" s="4" t="s">
        <v>7</v>
      </c>
      <c r="M443" s="4">
        <v>4</v>
      </c>
      <c r="N443" s="5">
        <v>25</v>
      </c>
      <c r="O443">
        <f>(M443*N443)</f>
        <v>100</v>
      </c>
      <c r="P443">
        <f>O443*$S$3</f>
        <v>1.5</v>
      </c>
      <c r="Q443">
        <f>O443*$S$4</f>
        <v>2</v>
      </c>
    </row>
    <row r="444" spans="1:17">
      <c r="A444" s="2">
        <v>443</v>
      </c>
      <c r="B444" s="4">
        <f>DAY(G444)</f>
        <v>9</v>
      </c>
      <c r="C444">
        <f>MONTH(G444)</f>
        <v>8</v>
      </c>
      <c r="D444">
        <f>YEAR(G444)</f>
        <v>2023</v>
      </c>
      <c r="E444" t="str">
        <f>TEXT(G444,"DDDD")</f>
        <v>Wednesday</v>
      </c>
      <c r="F444" t="str">
        <f>TEXT(G444,"MMMM")</f>
        <v>August</v>
      </c>
      <c r="G444" s="3">
        <v>45147</v>
      </c>
      <c r="H444" s="4" t="s">
        <v>476</v>
      </c>
      <c r="I444" s="4" t="s">
        <v>4</v>
      </c>
      <c r="J444" s="4" t="str">
        <f>IF(K444&lt;30, "Young Adult","Adult")</f>
        <v>Young Adult</v>
      </c>
      <c r="K444" s="4">
        <v>29</v>
      </c>
      <c r="L444" s="4" t="s">
        <v>7</v>
      </c>
      <c r="M444" s="4">
        <v>2</v>
      </c>
      <c r="N444" s="5">
        <v>300</v>
      </c>
      <c r="O444">
        <f>(M444*N444)</f>
        <v>600</v>
      </c>
      <c r="P444">
        <f>O444*$S$3</f>
        <v>9</v>
      </c>
      <c r="Q444">
        <f>O444*$S$4</f>
        <v>12</v>
      </c>
    </row>
    <row r="445" spans="1:17">
      <c r="A445" s="2">
        <v>444</v>
      </c>
      <c r="B445" s="4">
        <f>DAY(G445)</f>
        <v>7</v>
      </c>
      <c r="C445">
        <f>MONTH(G445)</f>
        <v>3</v>
      </c>
      <c r="D445">
        <f>YEAR(G445)</f>
        <v>2023</v>
      </c>
      <c r="E445" t="str">
        <f>TEXT(G445,"DDDD")</f>
        <v>Tuesday</v>
      </c>
      <c r="F445" t="str">
        <f>TEXT(G445,"MMMM")</f>
        <v>March</v>
      </c>
      <c r="G445" s="3">
        <v>44992</v>
      </c>
      <c r="H445" s="4" t="s">
        <v>477</v>
      </c>
      <c r="I445" s="4" t="s">
        <v>3</v>
      </c>
      <c r="J445" s="4" t="str">
        <f>IF(K445&lt;30, "Young Adult","Adult")</f>
        <v>Adult</v>
      </c>
      <c r="K445" s="4">
        <v>61</v>
      </c>
      <c r="L445" s="4" t="s">
        <v>7</v>
      </c>
      <c r="M445" s="4">
        <v>3</v>
      </c>
      <c r="N445" s="5">
        <v>30</v>
      </c>
      <c r="O445">
        <f>(M445*N445)</f>
        <v>90</v>
      </c>
      <c r="P445">
        <f>O445*$S$3</f>
        <v>1.3499999999999999</v>
      </c>
      <c r="Q445">
        <f>O445*$S$4</f>
        <v>1.8</v>
      </c>
    </row>
    <row r="446" spans="1:17">
      <c r="A446" s="2">
        <v>445</v>
      </c>
      <c r="B446" s="4">
        <f>DAY(G446)</f>
        <v>22</v>
      </c>
      <c r="C446">
        <f>MONTH(G446)</f>
        <v>1</v>
      </c>
      <c r="D446">
        <f>YEAR(G446)</f>
        <v>2023</v>
      </c>
      <c r="E446" t="str">
        <f>TEXT(G446,"DDDD")</f>
        <v>Sunday</v>
      </c>
      <c r="F446" t="str">
        <f>TEXT(G446,"MMMM")</f>
        <v>January</v>
      </c>
      <c r="G446" s="3">
        <v>44948</v>
      </c>
      <c r="H446" s="4" t="s">
        <v>478</v>
      </c>
      <c r="I446" s="4" t="s">
        <v>3</v>
      </c>
      <c r="J446" s="4" t="str">
        <f>IF(K446&lt;30, "Young Adult","Adult")</f>
        <v>Adult</v>
      </c>
      <c r="K446" s="4">
        <v>53</v>
      </c>
      <c r="L446" s="4" t="s">
        <v>8</v>
      </c>
      <c r="M446" s="4">
        <v>1</v>
      </c>
      <c r="N446" s="5">
        <v>300</v>
      </c>
      <c r="O446">
        <f>(M446*N446)</f>
        <v>300</v>
      </c>
      <c r="P446">
        <f>O446*$S$3</f>
        <v>4.5</v>
      </c>
      <c r="Q446">
        <f>O446*$S$4</f>
        <v>6</v>
      </c>
    </row>
    <row r="447" spans="1:17">
      <c r="A447" s="2">
        <v>446</v>
      </c>
      <c r="B447" s="4">
        <f>DAY(G447)</f>
        <v>7</v>
      </c>
      <c r="C447">
        <f>MONTH(G447)</f>
        <v>6</v>
      </c>
      <c r="D447">
        <f>YEAR(G447)</f>
        <v>2023</v>
      </c>
      <c r="E447" t="str">
        <f>TEXT(G447,"DDDD")</f>
        <v>Wednesday</v>
      </c>
      <c r="F447" t="str">
        <f>TEXT(G447,"MMMM")</f>
        <v>June</v>
      </c>
      <c r="G447" s="3">
        <v>45084</v>
      </c>
      <c r="H447" s="4" t="s">
        <v>479</v>
      </c>
      <c r="I447" s="4" t="s">
        <v>4</v>
      </c>
      <c r="J447" s="4" t="str">
        <f>IF(K447&lt;30, "Young Adult","Adult")</f>
        <v>Young Adult</v>
      </c>
      <c r="K447" s="4">
        <v>21</v>
      </c>
      <c r="L447" s="4" t="s">
        <v>8</v>
      </c>
      <c r="M447" s="4">
        <v>1</v>
      </c>
      <c r="N447" s="5">
        <v>50</v>
      </c>
      <c r="O447">
        <f>(M447*N447)</f>
        <v>50</v>
      </c>
      <c r="P447">
        <f>O447*$S$3</f>
        <v>0.75</v>
      </c>
      <c r="Q447">
        <f>O447*$S$4</f>
        <v>1</v>
      </c>
    </row>
    <row r="448" spans="1:17">
      <c r="A448" s="2">
        <v>447</v>
      </c>
      <c r="B448" s="4">
        <f>DAY(G448)</f>
        <v>6</v>
      </c>
      <c r="C448">
        <f>MONTH(G448)</f>
        <v>7</v>
      </c>
      <c r="D448">
        <f>YEAR(G448)</f>
        <v>2023</v>
      </c>
      <c r="E448" t="str">
        <f>TEXT(G448,"DDDD")</f>
        <v>Thursday</v>
      </c>
      <c r="F448" t="str">
        <f>TEXT(G448,"MMMM")</f>
        <v>July</v>
      </c>
      <c r="G448" s="3">
        <v>45113</v>
      </c>
      <c r="H448" s="4" t="s">
        <v>480</v>
      </c>
      <c r="I448" s="4" t="s">
        <v>4</v>
      </c>
      <c r="J448" s="4" t="str">
        <f>IF(K448&lt;30, "Young Adult","Adult")</f>
        <v>Young Adult</v>
      </c>
      <c r="K448" s="4">
        <v>22</v>
      </c>
      <c r="L448" s="4" t="s">
        <v>6</v>
      </c>
      <c r="M448" s="4">
        <v>4</v>
      </c>
      <c r="N448" s="5">
        <v>500</v>
      </c>
      <c r="O448">
        <f>(M448*N448)</f>
        <v>2000</v>
      </c>
      <c r="P448">
        <f>O448*$S$3</f>
        <v>30</v>
      </c>
      <c r="Q448">
        <f>O448*$S$4</f>
        <v>40</v>
      </c>
    </row>
    <row r="449" spans="1:17">
      <c r="A449" s="2">
        <v>448</v>
      </c>
      <c r="B449" s="4">
        <f>DAY(G449)</f>
        <v>21</v>
      </c>
      <c r="C449">
        <f>MONTH(G449)</f>
        <v>1</v>
      </c>
      <c r="D449">
        <f>YEAR(G449)</f>
        <v>2023</v>
      </c>
      <c r="E449" t="str">
        <f>TEXT(G449,"DDDD")</f>
        <v>Saturday</v>
      </c>
      <c r="F449" t="str">
        <f>TEXT(G449,"MMMM")</f>
        <v>January</v>
      </c>
      <c r="G449" s="3">
        <v>44947</v>
      </c>
      <c r="H449" s="4" t="s">
        <v>481</v>
      </c>
      <c r="I449" s="4" t="s">
        <v>3</v>
      </c>
      <c r="J449" s="4" t="str">
        <f>IF(K449&lt;30, "Young Adult","Adult")</f>
        <v>Adult</v>
      </c>
      <c r="K449" s="4">
        <v>54</v>
      </c>
      <c r="L449" s="4" t="s">
        <v>6</v>
      </c>
      <c r="M449" s="4">
        <v>2</v>
      </c>
      <c r="N449" s="5">
        <v>30</v>
      </c>
      <c r="O449">
        <f>(M449*N449)</f>
        <v>60</v>
      </c>
      <c r="P449">
        <f>O449*$S$3</f>
        <v>0.89999999999999991</v>
      </c>
      <c r="Q449">
        <f>O449*$S$4</f>
        <v>1.2</v>
      </c>
    </row>
    <row r="450" spans="1:17">
      <c r="A450" s="2">
        <v>449</v>
      </c>
      <c r="B450" s="4">
        <f>DAY(G450)</f>
        <v>3</v>
      </c>
      <c r="C450">
        <f>MONTH(G450)</f>
        <v>7</v>
      </c>
      <c r="D450">
        <f>YEAR(G450)</f>
        <v>2023</v>
      </c>
      <c r="E450" t="str">
        <f>TEXT(G450,"DDDD")</f>
        <v>Monday</v>
      </c>
      <c r="F450" t="str">
        <f>TEXT(G450,"MMMM")</f>
        <v>July</v>
      </c>
      <c r="G450" s="3">
        <v>45110</v>
      </c>
      <c r="H450" s="4" t="s">
        <v>482</v>
      </c>
      <c r="I450" s="4" t="s">
        <v>4</v>
      </c>
      <c r="J450" s="4" t="str">
        <f>IF(K450&lt;30, "Young Adult","Adult")</f>
        <v>Young Adult</v>
      </c>
      <c r="K450" s="4">
        <v>25</v>
      </c>
      <c r="L450" s="4" t="s">
        <v>8</v>
      </c>
      <c r="M450" s="4">
        <v>4</v>
      </c>
      <c r="N450" s="5">
        <v>50</v>
      </c>
      <c r="O450">
        <f>(M450*N450)</f>
        <v>200</v>
      </c>
      <c r="P450">
        <f>O450*$S$3</f>
        <v>3</v>
      </c>
      <c r="Q450">
        <f>O450*$S$4</f>
        <v>4</v>
      </c>
    </row>
    <row r="451" spans="1:17">
      <c r="A451" s="2">
        <v>450</v>
      </c>
      <c r="B451" s="4">
        <f>DAY(G451)</f>
        <v>18</v>
      </c>
      <c r="C451">
        <f>MONTH(G451)</f>
        <v>4</v>
      </c>
      <c r="D451">
        <f>YEAR(G451)</f>
        <v>2023</v>
      </c>
      <c r="E451" t="str">
        <f>TEXT(G451,"DDDD")</f>
        <v>Tuesday</v>
      </c>
      <c r="F451" t="str">
        <f>TEXT(G451,"MMMM")</f>
        <v>April</v>
      </c>
      <c r="G451" s="3">
        <v>45034</v>
      </c>
      <c r="H451" s="4" t="s">
        <v>483</v>
      </c>
      <c r="I451" s="4" t="s">
        <v>3</v>
      </c>
      <c r="J451" s="4" t="str">
        <f>IF(K451&lt;30, "Young Adult","Adult")</f>
        <v>Adult</v>
      </c>
      <c r="K451" s="4">
        <v>59</v>
      </c>
      <c r="L451" s="4" t="s">
        <v>6</v>
      </c>
      <c r="M451" s="4">
        <v>2</v>
      </c>
      <c r="N451" s="5">
        <v>25</v>
      </c>
      <c r="O451">
        <f>(M451*N451)</f>
        <v>50</v>
      </c>
      <c r="P451">
        <f>O451*$S$3</f>
        <v>0.75</v>
      </c>
      <c r="Q451">
        <f>O451*$S$4</f>
        <v>1</v>
      </c>
    </row>
    <row r="452" spans="1:17">
      <c r="A452" s="2">
        <v>451</v>
      </c>
      <c r="B452" s="4">
        <f>DAY(G452)</f>
        <v>16</v>
      </c>
      <c r="C452">
        <f>MONTH(G452)</f>
        <v>12</v>
      </c>
      <c r="D452">
        <f>YEAR(G452)</f>
        <v>2023</v>
      </c>
      <c r="E452" t="str">
        <f>TEXT(G452,"DDDD")</f>
        <v>Saturday</v>
      </c>
      <c r="F452" t="str">
        <f>TEXT(G452,"MMMM")</f>
        <v>December</v>
      </c>
      <c r="G452" s="3">
        <v>45276</v>
      </c>
      <c r="H452" s="4" t="s">
        <v>484</v>
      </c>
      <c r="I452" s="4" t="s">
        <v>3</v>
      </c>
      <c r="J452" s="4" t="str">
        <f>IF(K452&lt;30, "Young Adult","Adult")</f>
        <v>Adult</v>
      </c>
      <c r="K452" s="4">
        <v>45</v>
      </c>
      <c r="L452" s="4" t="s">
        <v>8</v>
      </c>
      <c r="M452" s="4">
        <v>1</v>
      </c>
      <c r="N452" s="5">
        <v>30</v>
      </c>
      <c r="O452">
        <f>(M452*N452)</f>
        <v>30</v>
      </c>
      <c r="P452">
        <f>O452*$S$3</f>
        <v>0.44999999999999996</v>
      </c>
      <c r="Q452">
        <f>O452*$S$4</f>
        <v>0.6</v>
      </c>
    </row>
    <row r="453" spans="1:17">
      <c r="A453" s="2">
        <v>452</v>
      </c>
      <c r="B453" s="4">
        <f>DAY(G453)</f>
        <v>8</v>
      </c>
      <c r="C453">
        <f>MONTH(G453)</f>
        <v>5</v>
      </c>
      <c r="D453">
        <f>YEAR(G453)</f>
        <v>2023</v>
      </c>
      <c r="E453" t="str">
        <f>TEXT(G453,"DDDD")</f>
        <v>Monday</v>
      </c>
      <c r="F453" t="str">
        <f>TEXT(G453,"MMMM")</f>
        <v>May</v>
      </c>
      <c r="G453" s="3">
        <v>45054</v>
      </c>
      <c r="H453" s="4" t="s">
        <v>485</v>
      </c>
      <c r="I453" s="4" t="s">
        <v>3</v>
      </c>
      <c r="J453" s="4" t="str">
        <f>IF(K453&lt;30, "Young Adult","Adult")</f>
        <v>Adult</v>
      </c>
      <c r="K453" s="4">
        <v>48</v>
      </c>
      <c r="L453" s="4" t="s">
        <v>7</v>
      </c>
      <c r="M453" s="4">
        <v>3</v>
      </c>
      <c r="N453" s="5">
        <v>500</v>
      </c>
      <c r="O453">
        <f>(M453*N453)</f>
        <v>1500</v>
      </c>
      <c r="P453">
        <f>O453*$S$3</f>
        <v>22.5</v>
      </c>
      <c r="Q453">
        <f>O453*$S$4</f>
        <v>30</v>
      </c>
    </row>
    <row r="454" spans="1:17">
      <c r="A454" s="2">
        <v>453</v>
      </c>
      <c r="B454" s="4">
        <f>DAY(G454)</f>
        <v>8</v>
      </c>
      <c r="C454">
        <f>MONTH(G454)</f>
        <v>12</v>
      </c>
      <c r="D454">
        <f>YEAR(G454)</f>
        <v>2023</v>
      </c>
      <c r="E454" t="str">
        <f>TEXT(G454,"DDDD")</f>
        <v>Friday</v>
      </c>
      <c r="F454" t="str">
        <f>TEXT(G454,"MMMM")</f>
        <v>December</v>
      </c>
      <c r="G454" s="3">
        <v>45268</v>
      </c>
      <c r="H454" s="4" t="s">
        <v>486</v>
      </c>
      <c r="I454" s="4" t="s">
        <v>3</v>
      </c>
      <c r="J454" s="4" t="str">
        <f>IF(K454&lt;30, "Young Adult","Adult")</f>
        <v>Young Adult</v>
      </c>
      <c r="K454" s="4">
        <v>26</v>
      </c>
      <c r="L454" s="4" t="s">
        <v>7</v>
      </c>
      <c r="M454" s="4">
        <v>2</v>
      </c>
      <c r="N454" s="5">
        <v>500</v>
      </c>
      <c r="O454">
        <f>(M454*N454)</f>
        <v>1000</v>
      </c>
      <c r="P454">
        <f>O454*$S$3</f>
        <v>15</v>
      </c>
      <c r="Q454">
        <f>O454*$S$4</f>
        <v>20</v>
      </c>
    </row>
    <row r="455" spans="1:17">
      <c r="A455" s="2">
        <v>454</v>
      </c>
      <c r="B455" s="4">
        <f>DAY(G455)</f>
        <v>22</v>
      </c>
      <c r="C455">
        <f>MONTH(G455)</f>
        <v>2</v>
      </c>
      <c r="D455">
        <f>YEAR(G455)</f>
        <v>2023</v>
      </c>
      <c r="E455" t="str">
        <f>TEXT(G455,"DDDD")</f>
        <v>Wednesday</v>
      </c>
      <c r="F455" t="str">
        <f>TEXT(G455,"MMMM")</f>
        <v>February</v>
      </c>
      <c r="G455" s="3">
        <v>44979</v>
      </c>
      <c r="H455" s="4" t="s">
        <v>487</v>
      </c>
      <c r="I455" s="4" t="s">
        <v>3</v>
      </c>
      <c r="J455" s="4" t="str">
        <f>IF(K455&lt;30, "Young Adult","Adult")</f>
        <v>Adult</v>
      </c>
      <c r="K455" s="4">
        <v>46</v>
      </c>
      <c r="L455" s="4" t="s">
        <v>6</v>
      </c>
      <c r="M455" s="4">
        <v>1</v>
      </c>
      <c r="N455" s="5">
        <v>25</v>
      </c>
      <c r="O455">
        <f>(M455*N455)</f>
        <v>25</v>
      </c>
      <c r="P455">
        <f>O455*$S$3</f>
        <v>0.375</v>
      </c>
      <c r="Q455">
        <f>O455*$S$4</f>
        <v>0.5</v>
      </c>
    </row>
    <row r="456" spans="1:17">
      <c r="A456" s="2">
        <v>455</v>
      </c>
      <c r="B456" s="4">
        <f>DAY(G456)</f>
        <v>1</v>
      </c>
      <c r="C456">
        <f>MONTH(G456)</f>
        <v>7</v>
      </c>
      <c r="D456">
        <f>YEAR(G456)</f>
        <v>2023</v>
      </c>
      <c r="E456" t="str">
        <f>TEXT(G456,"DDDD")</f>
        <v>Saturday</v>
      </c>
      <c r="F456" t="str">
        <f>TEXT(G456,"MMMM")</f>
        <v>July</v>
      </c>
      <c r="G456" s="3">
        <v>45108</v>
      </c>
      <c r="H456" s="4" t="s">
        <v>488</v>
      </c>
      <c r="I456" s="4" t="s">
        <v>4</v>
      </c>
      <c r="J456" s="4" t="str">
        <f>IF(K456&lt;30, "Young Adult","Adult")</f>
        <v>Adult</v>
      </c>
      <c r="K456" s="4">
        <v>31</v>
      </c>
      <c r="L456" s="4" t="s">
        <v>8</v>
      </c>
      <c r="M456" s="4">
        <v>4</v>
      </c>
      <c r="N456" s="5">
        <v>25</v>
      </c>
      <c r="O456">
        <f>(M456*N456)</f>
        <v>100</v>
      </c>
      <c r="P456">
        <f>O456*$S$3</f>
        <v>1.5</v>
      </c>
      <c r="Q456">
        <f>O456*$S$4</f>
        <v>2</v>
      </c>
    </row>
    <row r="457" spans="1:17">
      <c r="A457" s="2">
        <v>456</v>
      </c>
      <c r="B457" s="4">
        <f>DAY(G457)</f>
        <v>14</v>
      </c>
      <c r="C457">
        <f>MONTH(G457)</f>
        <v>10</v>
      </c>
      <c r="D457">
        <f>YEAR(G457)</f>
        <v>2023</v>
      </c>
      <c r="E457" t="str">
        <f>TEXT(G457,"DDDD")</f>
        <v>Saturday</v>
      </c>
      <c r="F457" t="str">
        <f>TEXT(G457,"MMMM")</f>
        <v>October</v>
      </c>
      <c r="G457" s="3">
        <v>45213</v>
      </c>
      <c r="H457" s="4" t="s">
        <v>489</v>
      </c>
      <c r="I457" s="4" t="s">
        <v>4</v>
      </c>
      <c r="J457" s="4" t="str">
        <f>IF(K457&lt;30, "Young Adult","Adult")</f>
        <v>Adult</v>
      </c>
      <c r="K457" s="4">
        <v>57</v>
      </c>
      <c r="L457" s="4" t="s">
        <v>8</v>
      </c>
      <c r="M457" s="4">
        <v>2</v>
      </c>
      <c r="N457" s="5">
        <v>30</v>
      </c>
      <c r="O457">
        <f>(M457*N457)</f>
        <v>60</v>
      </c>
      <c r="P457">
        <f>O457*$S$3</f>
        <v>0.89999999999999991</v>
      </c>
      <c r="Q457">
        <f>O457*$S$4</f>
        <v>1.2</v>
      </c>
    </row>
    <row r="458" spans="1:17">
      <c r="A458" s="2">
        <v>457</v>
      </c>
      <c r="B458" s="4">
        <f>DAY(G458)</f>
        <v>28</v>
      </c>
      <c r="C458">
        <f>MONTH(G458)</f>
        <v>7</v>
      </c>
      <c r="D458">
        <f>YEAR(G458)</f>
        <v>2023</v>
      </c>
      <c r="E458" t="str">
        <f>TEXT(G458,"DDDD")</f>
        <v>Friday</v>
      </c>
      <c r="F458" t="str">
        <f>TEXT(G458,"MMMM")</f>
        <v>July</v>
      </c>
      <c r="G458" s="3">
        <v>45135</v>
      </c>
      <c r="H458" s="4" t="s">
        <v>490</v>
      </c>
      <c r="I458" s="4" t="s">
        <v>3</v>
      </c>
      <c r="J458" s="4" t="str">
        <f>IF(K458&lt;30, "Young Adult","Adult")</f>
        <v>Adult</v>
      </c>
      <c r="K458" s="4">
        <v>58</v>
      </c>
      <c r="L458" s="4" t="s">
        <v>6</v>
      </c>
      <c r="M458" s="4">
        <v>3</v>
      </c>
      <c r="N458" s="5">
        <v>300</v>
      </c>
      <c r="O458">
        <f>(M458*N458)</f>
        <v>900</v>
      </c>
      <c r="P458">
        <f>O458*$S$3</f>
        <v>13.5</v>
      </c>
      <c r="Q458">
        <f>O458*$S$4</f>
        <v>18</v>
      </c>
    </row>
    <row r="459" spans="1:17">
      <c r="A459" s="2">
        <v>458</v>
      </c>
      <c r="B459" s="4">
        <f>DAY(G459)</f>
        <v>14</v>
      </c>
      <c r="C459">
        <f>MONTH(G459)</f>
        <v>11</v>
      </c>
      <c r="D459">
        <f>YEAR(G459)</f>
        <v>2023</v>
      </c>
      <c r="E459" t="str">
        <f>TEXT(G459,"DDDD")</f>
        <v>Tuesday</v>
      </c>
      <c r="F459" t="str">
        <f>TEXT(G459,"MMMM")</f>
        <v>November</v>
      </c>
      <c r="G459" s="3">
        <v>45244</v>
      </c>
      <c r="H459" s="4" t="s">
        <v>491</v>
      </c>
      <c r="I459" s="4" t="s">
        <v>3</v>
      </c>
      <c r="J459" s="4" t="str">
        <f>IF(K459&lt;30, "Young Adult","Adult")</f>
        <v>Adult</v>
      </c>
      <c r="K459" s="4">
        <v>39</v>
      </c>
      <c r="L459" s="4" t="s">
        <v>8</v>
      </c>
      <c r="M459" s="4">
        <v>4</v>
      </c>
      <c r="N459" s="5">
        <v>25</v>
      </c>
      <c r="O459">
        <f>(M459*N459)</f>
        <v>100</v>
      </c>
      <c r="P459">
        <f>O459*$S$3</f>
        <v>1.5</v>
      </c>
      <c r="Q459">
        <f>O459*$S$4</f>
        <v>2</v>
      </c>
    </row>
    <row r="460" spans="1:17">
      <c r="A460" s="2">
        <v>459</v>
      </c>
      <c r="B460" s="4">
        <f>DAY(G460)</f>
        <v>21</v>
      </c>
      <c r="C460">
        <f>MONTH(G460)</f>
        <v>3</v>
      </c>
      <c r="D460">
        <f>YEAR(G460)</f>
        <v>2023</v>
      </c>
      <c r="E460" t="str">
        <f>TEXT(G460,"DDDD")</f>
        <v>Tuesday</v>
      </c>
      <c r="F460" t="str">
        <f>TEXT(G460,"MMMM")</f>
        <v>March</v>
      </c>
      <c r="G460" s="3">
        <v>45006</v>
      </c>
      <c r="H460" s="4" t="s">
        <v>492</v>
      </c>
      <c r="I460" s="4" t="s">
        <v>4</v>
      </c>
      <c r="J460" s="4" t="str">
        <f>IF(K460&lt;30, "Young Adult","Adult")</f>
        <v>Young Adult</v>
      </c>
      <c r="K460" s="4">
        <v>28</v>
      </c>
      <c r="L460" s="4" t="s">
        <v>7</v>
      </c>
      <c r="M460" s="4">
        <v>4</v>
      </c>
      <c r="N460" s="5">
        <v>300</v>
      </c>
      <c r="O460">
        <f>(M460*N460)</f>
        <v>1200</v>
      </c>
      <c r="P460">
        <f>O460*$S$3</f>
        <v>18</v>
      </c>
      <c r="Q460">
        <f>O460*$S$4</f>
        <v>24</v>
      </c>
    </row>
    <row r="461" spans="1:17">
      <c r="A461" s="2">
        <v>460</v>
      </c>
      <c r="B461" s="4">
        <f>DAY(G461)</f>
        <v>2</v>
      </c>
      <c r="C461">
        <f>MONTH(G461)</f>
        <v>5</v>
      </c>
      <c r="D461">
        <f>YEAR(G461)</f>
        <v>2023</v>
      </c>
      <c r="E461" t="str">
        <f>TEXT(G461,"DDDD")</f>
        <v>Tuesday</v>
      </c>
      <c r="F461" t="str">
        <f>TEXT(G461,"MMMM")</f>
        <v>May</v>
      </c>
      <c r="G461" s="3">
        <v>45048</v>
      </c>
      <c r="H461" s="4" t="s">
        <v>493</v>
      </c>
      <c r="I461" s="4" t="s">
        <v>4</v>
      </c>
      <c r="J461" s="4" t="str">
        <f>IF(K461&lt;30, "Young Adult","Adult")</f>
        <v>Adult</v>
      </c>
      <c r="K461" s="4">
        <v>40</v>
      </c>
      <c r="L461" s="4" t="s">
        <v>6</v>
      </c>
      <c r="M461" s="4">
        <v>1</v>
      </c>
      <c r="N461" s="5">
        <v>50</v>
      </c>
      <c r="O461">
        <f>(M461*N461)</f>
        <v>50</v>
      </c>
      <c r="P461">
        <f>O461*$S$3</f>
        <v>0.75</v>
      </c>
      <c r="Q461">
        <f>O461*$S$4</f>
        <v>1</v>
      </c>
    </row>
    <row r="462" spans="1:17">
      <c r="A462" s="2">
        <v>461</v>
      </c>
      <c r="B462" s="4">
        <f>DAY(G462)</f>
        <v>25</v>
      </c>
      <c r="C462">
        <f>MONTH(G462)</f>
        <v>3</v>
      </c>
      <c r="D462">
        <f>YEAR(G462)</f>
        <v>2023</v>
      </c>
      <c r="E462" t="str">
        <f>TEXT(G462,"DDDD")</f>
        <v>Saturday</v>
      </c>
      <c r="F462" t="str">
        <f>TEXT(G462,"MMMM")</f>
        <v>March</v>
      </c>
      <c r="G462" s="3">
        <v>45010</v>
      </c>
      <c r="H462" s="4" t="s">
        <v>494</v>
      </c>
      <c r="I462" s="4" t="s">
        <v>3</v>
      </c>
      <c r="J462" s="4" t="str">
        <f>IF(K462&lt;30, "Young Adult","Adult")</f>
        <v>Young Adult</v>
      </c>
      <c r="K462" s="4">
        <v>18</v>
      </c>
      <c r="L462" s="4" t="s">
        <v>6</v>
      </c>
      <c r="M462" s="4">
        <v>2</v>
      </c>
      <c r="N462" s="5">
        <v>500</v>
      </c>
      <c r="O462">
        <f>(M462*N462)</f>
        <v>1000</v>
      </c>
      <c r="P462">
        <f>O462*$S$3</f>
        <v>15</v>
      </c>
      <c r="Q462">
        <f>O462*$S$4</f>
        <v>20</v>
      </c>
    </row>
    <row r="463" spans="1:17">
      <c r="A463" s="2">
        <v>462</v>
      </c>
      <c r="B463" s="4">
        <f>DAY(G463)</f>
        <v>1</v>
      </c>
      <c r="C463">
        <f>MONTH(G463)</f>
        <v>4</v>
      </c>
      <c r="D463">
        <f>YEAR(G463)</f>
        <v>2023</v>
      </c>
      <c r="E463" t="str">
        <f>TEXT(G463,"DDDD")</f>
        <v>Saturday</v>
      </c>
      <c r="F463" t="str">
        <f>TEXT(G463,"MMMM")</f>
        <v>April</v>
      </c>
      <c r="G463" s="3">
        <v>45017</v>
      </c>
      <c r="H463" s="4" t="s">
        <v>495</v>
      </c>
      <c r="I463" s="4" t="s">
        <v>4</v>
      </c>
      <c r="J463" s="4" t="str">
        <f>IF(K463&lt;30, "Young Adult","Adult")</f>
        <v>Adult</v>
      </c>
      <c r="K463" s="4">
        <v>63</v>
      </c>
      <c r="L463" s="4" t="s">
        <v>8</v>
      </c>
      <c r="M463" s="4">
        <v>4</v>
      </c>
      <c r="N463" s="5">
        <v>300</v>
      </c>
      <c r="O463">
        <f>(M463*N463)</f>
        <v>1200</v>
      </c>
      <c r="P463">
        <f>O463*$S$3</f>
        <v>18</v>
      </c>
      <c r="Q463">
        <f>O463*$S$4</f>
        <v>24</v>
      </c>
    </row>
    <row r="464" spans="1:17">
      <c r="A464" s="2">
        <v>463</v>
      </c>
      <c r="B464" s="4">
        <f>DAY(G464)</f>
        <v>31</v>
      </c>
      <c r="C464">
        <f>MONTH(G464)</f>
        <v>7</v>
      </c>
      <c r="D464">
        <f>YEAR(G464)</f>
        <v>2023</v>
      </c>
      <c r="E464" t="str">
        <f>TEXT(G464,"DDDD")</f>
        <v>Monday</v>
      </c>
      <c r="F464" t="str">
        <f>TEXT(G464,"MMMM")</f>
        <v>July</v>
      </c>
      <c r="G464" s="3">
        <v>45138</v>
      </c>
      <c r="H464" s="4" t="s">
        <v>496</v>
      </c>
      <c r="I464" s="4" t="s">
        <v>3</v>
      </c>
      <c r="J464" s="4" t="str">
        <f>IF(K464&lt;30, "Young Adult","Adult")</f>
        <v>Adult</v>
      </c>
      <c r="K464" s="4">
        <v>54</v>
      </c>
      <c r="L464" s="4" t="s">
        <v>6</v>
      </c>
      <c r="M464" s="4">
        <v>3</v>
      </c>
      <c r="N464" s="5">
        <v>500</v>
      </c>
      <c r="O464">
        <f>(M464*N464)</f>
        <v>1500</v>
      </c>
      <c r="P464">
        <f>O464*$S$3</f>
        <v>22.5</v>
      </c>
      <c r="Q464">
        <f>O464*$S$4</f>
        <v>30</v>
      </c>
    </row>
    <row r="465" spans="1:17">
      <c r="A465" s="2">
        <v>464</v>
      </c>
      <c r="B465" s="4">
        <f>DAY(G465)</f>
        <v>13</v>
      </c>
      <c r="C465">
        <f>MONTH(G465)</f>
        <v>1</v>
      </c>
      <c r="D465">
        <f>YEAR(G465)</f>
        <v>2023</v>
      </c>
      <c r="E465" t="str">
        <f>TEXT(G465,"DDDD")</f>
        <v>Friday</v>
      </c>
      <c r="F465" t="str">
        <f>TEXT(G465,"MMMM")</f>
        <v>January</v>
      </c>
      <c r="G465" s="3">
        <v>44939</v>
      </c>
      <c r="H465" s="4" t="s">
        <v>497</v>
      </c>
      <c r="I465" s="4" t="s">
        <v>4</v>
      </c>
      <c r="J465" s="4" t="str">
        <f>IF(K465&lt;30, "Young Adult","Adult")</f>
        <v>Adult</v>
      </c>
      <c r="K465" s="4">
        <v>38</v>
      </c>
      <c r="L465" s="4" t="s">
        <v>8</v>
      </c>
      <c r="M465" s="4">
        <v>2</v>
      </c>
      <c r="N465" s="5">
        <v>300</v>
      </c>
      <c r="O465">
        <f>(M465*N465)</f>
        <v>600</v>
      </c>
      <c r="P465">
        <f>O465*$S$3</f>
        <v>9</v>
      </c>
      <c r="Q465">
        <f>O465*$S$4</f>
        <v>12</v>
      </c>
    </row>
    <row r="466" spans="1:17">
      <c r="A466" s="2">
        <v>465</v>
      </c>
      <c r="B466" s="4">
        <f>DAY(G466)</f>
        <v>2</v>
      </c>
      <c r="C466">
        <f>MONTH(G466)</f>
        <v>4</v>
      </c>
      <c r="D466">
        <f>YEAR(G466)</f>
        <v>2023</v>
      </c>
      <c r="E466" t="str">
        <f>TEXT(G466,"DDDD")</f>
        <v>Sunday</v>
      </c>
      <c r="F466" t="str">
        <f>TEXT(G466,"MMMM")</f>
        <v>April</v>
      </c>
      <c r="G466" s="3">
        <v>45018</v>
      </c>
      <c r="H466" s="4" t="s">
        <v>498</v>
      </c>
      <c r="I466" s="4" t="s">
        <v>3</v>
      </c>
      <c r="J466" s="4" t="str">
        <f>IF(K466&lt;30, "Young Adult","Adult")</f>
        <v>Adult</v>
      </c>
      <c r="K466" s="4">
        <v>43</v>
      </c>
      <c r="L466" s="4" t="s">
        <v>8</v>
      </c>
      <c r="M466" s="4">
        <v>3</v>
      </c>
      <c r="N466" s="5">
        <v>50</v>
      </c>
      <c r="O466">
        <f>(M466*N466)</f>
        <v>150</v>
      </c>
      <c r="P466">
        <f>O466*$S$3</f>
        <v>2.25</v>
      </c>
      <c r="Q466">
        <f>O466*$S$4</f>
        <v>3</v>
      </c>
    </row>
    <row r="467" spans="1:17">
      <c r="A467" s="2">
        <v>466</v>
      </c>
      <c r="B467" s="4">
        <f>DAY(G467)</f>
        <v>20</v>
      </c>
      <c r="C467">
        <f>MONTH(G467)</f>
        <v>6</v>
      </c>
      <c r="D467">
        <f>YEAR(G467)</f>
        <v>2023</v>
      </c>
      <c r="E467" t="str">
        <f>TEXT(G467,"DDDD")</f>
        <v>Tuesday</v>
      </c>
      <c r="F467" t="str">
        <f>TEXT(G467,"MMMM")</f>
        <v>June</v>
      </c>
      <c r="G467" s="3">
        <v>45097</v>
      </c>
      <c r="H467" s="4" t="s">
        <v>499</v>
      </c>
      <c r="I467" s="4" t="s">
        <v>4</v>
      </c>
      <c r="J467" s="4" t="str">
        <f>IF(K467&lt;30, "Young Adult","Adult")</f>
        <v>Adult</v>
      </c>
      <c r="K467" s="4">
        <v>63</v>
      </c>
      <c r="L467" s="4" t="s">
        <v>8</v>
      </c>
      <c r="M467" s="4">
        <v>4</v>
      </c>
      <c r="N467" s="5">
        <v>25</v>
      </c>
      <c r="O467">
        <f>(M467*N467)</f>
        <v>100</v>
      </c>
      <c r="P467">
        <f>O467*$S$3</f>
        <v>1.5</v>
      </c>
      <c r="Q467">
        <f>O467*$S$4</f>
        <v>2</v>
      </c>
    </row>
    <row r="468" spans="1:17">
      <c r="A468" s="2">
        <v>467</v>
      </c>
      <c r="B468" s="4">
        <f>DAY(G468)</f>
        <v>30</v>
      </c>
      <c r="C468">
        <f>MONTH(G468)</f>
        <v>7</v>
      </c>
      <c r="D468">
        <f>YEAR(G468)</f>
        <v>2023</v>
      </c>
      <c r="E468" t="str">
        <f>TEXT(G468,"DDDD")</f>
        <v>Sunday</v>
      </c>
      <c r="F468" t="str">
        <f>TEXT(G468,"MMMM")</f>
        <v>July</v>
      </c>
      <c r="G468" s="3">
        <v>45137</v>
      </c>
      <c r="H468" s="4" t="s">
        <v>500</v>
      </c>
      <c r="I468" s="4" t="s">
        <v>3</v>
      </c>
      <c r="J468" s="4" t="str">
        <f>IF(K468&lt;30, "Young Adult","Adult")</f>
        <v>Adult</v>
      </c>
      <c r="K468" s="4">
        <v>53</v>
      </c>
      <c r="L468" s="4" t="s">
        <v>8</v>
      </c>
      <c r="M468" s="4">
        <v>3</v>
      </c>
      <c r="N468" s="5">
        <v>50</v>
      </c>
      <c r="O468">
        <f>(M468*N468)</f>
        <v>150</v>
      </c>
      <c r="P468">
        <f>O468*$S$3</f>
        <v>2.25</v>
      </c>
      <c r="Q468">
        <f>O468*$S$4</f>
        <v>3</v>
      </c>
    </row>
    <row r="469" spans="1:17">
      <c r="A469" s="2">
        <v>468</v>
      </c>
      <c r="B469" s="4">
        <f>DAY(G469)</f>
        <v>9</v>
      </c>
      <c r="C469">
        <f>MONTH(G469)</f>
        <v>12</v>
      </c>
      <c r="D469">
        <f>YEAR(G469)</f>
        <v>2023</v>
      </c>
      <c r="E469" t="str">
        <f>TEXT(G469,"DDDD")</f>
        <v>Saturday</v>
      </c>
      <c r="F469" t="str">
        <f>TEXT(G469,"MMMM")</f>
        <v>December</v>
      </c>
      <c r="G469" s="3">
        <v>45269</v>
      </c>
      <c r="H469" s="4" t="s">
        <v>501</v>
      </c>
      <c r="I469" s="4" t="s">
        <v>4</v>
      </c>
      <c r="J469" s="4" t="str">
        <f>IF(K469&lt;30, "Young Adult","Adult")</f>
        <v>Adult</v>
      </c>
      <c r="K469" s="4">
        <v>40</v>
      </c>
      <c r="L469" s="4" t="s">
        <v>8</v>
      </c>
      <c r="M469" s="4">
        <v>1</v>
      </c>
      <c r="N469" s="5">
        <v>25</v>
      </c>
      <c r="O469">
        <f>(M469*N469)</f>
        <v>25</v>
      </c>
      <c r="P469">
        <f>O469*$S$3</f>
        <v>0.375</v>
      </c>
      <c r="Q469">
        <f>O469*$S$4</f>
        <v>0.5</v>
      </c>
    </row>
    <row r="470" spans="1:17">
      <c r="A470" s="2">
        <v>469</v>
      </c>
      <c r="B470" s="4">
        <f>DAY(G470)</f>
        <v>8</v>
      </c>
      <c r="C470">
        <f>MONTH(G470)</f>
        <v>5</v>
      </c>
      <c r="D470">
        <f>YEAR(G470)</f>
        <v>2023</v>
      </c>
      <c r="E470" t="str">
        <f>TEXT(G470,"DDDD")</f>
        <v>Monday</v>
      </c>
      <c r="F470" t="str">
        <f>TEXT(G470,"MMMM")</f>
        <v>May</v>
      </c>
      <c r="G470" s="3">
        <v>45054</v>
      </c>
      <c r="H470" s="4" t="s">
        <v>502</v>
      </c>
      <c r="I470" s="4" t="s">
        <v>4</v>
      </c>
      <c r="J470" s="4" t="str">
        <f>IF(K470&lt;30, "Young Adult","Adult")</f>
        <v>Young Adult</v>
      </c>
      <c r="K470" s="4">
        <v>18</v>
      </c>
      <c r="L470" s="4" t="s">
        <v>6</v>
      </c>
      <c r="M470" s="4">
        <v>3</v>
      </c>
      <c r="N470" s="5">
        <v>25</v>
      </c>
      <c r="O470">
        <f>(M470*N470)</f>
        <v>75</v>
      </c>
      <c r="P470">
        <f>O470*$S$3</f>
        <v>1.125</v>
      </c>
      <c r="Q470">
        <f>O470*$S$4</f>
        <v>1.5</v>
      </c>
    </row>
    <row r="471" spans="1:17">
      <c r="A471" s="2">
        <v>470</v>
      </c>
      <c r="B471" s="4">
        <f>DAY(G471)</f>
        <v>17</v>
      </c>
      <c r="C471">
        <f>MONTH(G471)</f>
        <v>5</v>
      </c>
      <c r="D471">
        <f>YEAR(G471)</f>
        <v>2023</v>
      </c>
      <c r="E471" t="str">
        <f>TEXT(G471,"DDDD")</f>
        <v>Wednesday</v>
      </c>
      <c r="F471" t="str">
        <f>TEXT(G471,"MMMM")</f>
        <v>May</v>
      </c>
      <c r="G471" s="3">
        <v>45063</v>
      </c>
      <c r="H471" s="4" t="s">
        <v>503</v>
      </c>
      <c r="I471" s="4" t="s">
        <v>3</v>
      </c>
      <c r="J471" s="4" t="str">
        <f>IF(K471&lt;30, "Young Adult","Adult")</f>
        <v>Adult</v>
      </c>
      <c r="K471" s="4">
        <v>57</v>
      </c>
      <c r="L471" s="4" t="s">
        <v>7</v>
      </c>
      <c r="M471" s="4">
        <v>2</v>
      </c>
      <c r="N471" s="5">
        <v>500</v>
      </c>
      <c r="O471">
        <f>(M471*N471)</f>
        <v>1000</v>
      </c>
      <c r="P471">
        <f>O471*$S$3</f>
        <v>15</v>
      </c>
      <c r="Q471">
        <f>O471*$S$4</f>
        <v>20</v>
      </c>
    </row>
    <row r="472" spans="1:17">
      <c r="A472" s="2">
        <v>471</v>
      </c>
      <c r="B472" s="4">
        <f>DAY(G472)</f>
        <v>23</v>
      </c>
      <c r="C472">
        <f>MONTH(G472)</f>
        <v>3</v>
      </c>
      <c r="D472">
        <f>YEAR(G472)</f>
        <v>2023</v>
      </c>
      <c r="E472" t="str">
        <f>TEXT(G472,"DDDD")</f>
        <v>Thursday</v>
      </c>
      <c r="F472" t="str">
        <f>TEXT(G472,"MMMM")</f>
        <v>March</v>
      </c>
      <c r="G472" s="3">
        <v>45008</v>
      </c>
      <c r="H472" s="4" t="s">
        <v>504</v>
      </c>
      <c r="I472" s="4" t="s">
        <v>4</v>
      </c>
      <c r="J472" s="4" t="str">
        <f>IF(K472&lt;30, "Young Adult","Adult")</f>
        <v>Adult</v>
      </c>
      <c r="K472" s="4">
        <v>32</v>
      </c>
      <c r="L472" s="4" t="s">
        <v>7</v>
      </c>
      <c r="M472" s="4">
        <v>3</v>
      </c>
      <c r="N472" s="5">
        <v>50</v>
      </c>
      <c r="O472">
        <f>(M472*N472)</f>
        <v>150</v>
      </c>
      <c r="P472">
        <f>O472*$S$3</f>
        <v>2.25</v>
      </c>
      <c r="Q472">
        <f>O472*$S$4</f>
        <v>3</v>
      </c>
    </row>
    <row r="473" spans="1:17">
      <c r="A473" s="2">
        <v>472</v>
      </c>
      <c r="B473" s="4">
        <f>DAY(G473)</f>
        <v>26</v>
      </c>
      <c r="C473">
        <f>MONTH(G473)</f>
        <v>12</v>
      </c>
      <c r="D473">
        <f>YEAR(G473)</f>
        <v>2023</v>
      </c>
      <c r="E473" t="str">
        <f>TEXT(G473,"DDDD")</f>
        <v>Tuesday</v>
      </c>
      <c r="F473" t="str">
        <f>TEXT(G473,"MMMM")</f>
        <v>December</v>
      </c>
      <c r="G473" s="3">
        <v>45286</v>
      </c>
      <c r="H473" s="4" t="s">
        <v>505</v>
      </c>
      <c r="I473" s="4" t="s">
        <v>3</v>
      </c>
      <c r="J473" s="4" t="str">
        <f>IF(K473&lt;30, "Young Adult","Adult")</f>
        <v>Adult</v>
      </c>
      <c r="K473" s="4">
        <v>38</v>
      </c>
      <c r="L473" s="4" t="s">
        <v>6</v>
      </c>
      <c r="M473" s="4">
        <v>3</v>
      </c>
      <c r="N473" s="5">
        <v>300</v>
      </c>
      <c r="O473">
        <f>(M473*N473)</f>
        <v>900</v>
      </c>
      <c r="P473">
        <f>O473*$S$3</f>
        <v>13.5</v>
      </c>
      <c r="Q473">
        <f>O473*$S$4</f>
        <v>18</v>
      </c>
    </row>
    <row r="474" spans="1:17">
      <c r="A474" s="2">
        <v>473</v>
      </c>
      <c r="B474" s="4">
        <f>DAY(G474)</f>
        <v>25</v>
      </c>
      <c r="C474">
        <f>MONTH(G474)</f>
        <v>2</v>
      </c>
      <c r="D474">
        <f>YEAR(G474)</f>
        <v>2023</v>
      </c>
      <c r="E474" t="str">
        <f>TEXT(G474,"DDDD")</f>
        <v>Saturday</v>
      </c>
      <c r="F474" t="str">
        <f>TEXT(G474,"MMMM")</f>
        <v>February</v>
      </c>
      <c r="G474" s="3">
        <v>44982</v>
      </c>
      <c r="H474" s="4" t="s">
        <v>506</v>
      </c>
      <c r="I474" s="4" t="s">
        <v>4</v>
      </c>
      <c r="J474" s="4" t="str">
        <f>IF(K474&lt;30, "Young Adult","Adult")</f>
        <v>Adult</v>
      </c>
      <c r="K474" s="4">
        <v>64</v>
      </c>
      <c r="L474" s="4" t="s">
        <v>6</v>
      </c>
      <c r="M474" s="4">
        <v>1</v>
      </c>
      <c r="N474" s="5">
        <v>50</v>
      </c>
      <c r="O474">
        <f>(M474*N474)</f>
        <v>50</v>
      </c>
      <c r="P474">
        <f>O474*$S$3</f>
        <v>0.75</v>
      </c>
      <c r="Q474">
        <f>O474*$S$4</f>
        <v>1</v>
      </c>
    </row>
    <row r="475" spans="1:17">
      <c r="A475" s="2">
        <v>474</v>
      </c>
      <c r="B475" s="4">
        <f>DAY(G475)</f>
        <v>15</v>
      </c>
      <c r="C475">
        <f>MONTH(G475)</f>
        <v>7</v>
      </c>
      <c r="D475">
        <f>YEAR(G475)</f>
        <v>2023</v>
      </c>
      <c r="E475" t="str">
        <f>TEXT(G475,"DDDD")</f>
        <v>Saturday</v>
      </c>
      <c r="F475" t="str">
        <f>TEXT(G475,"MMMM")</f>
        <v>July</v>
      </c>
      <c r="G475" s="3">
        <v>45122</v>
      </c>
      <c r="H475" s="4" t="s">
        <v>507</v>
      </c>
      <c r="I475" s="4" t="s">
        <v>3</v>
      </c>
      <c r="J475" s="4" t="str">
        <f>IF(K475&lt;30, "Young Adult","Adult")</f>
        <v>Young Adult</v>
      </c>
      <c r="K475" s="4">
        <v>26</v>
      </c>
      <c r="L475" s="4" t="s">
        <v>7</v>
      </c>
      <c r="M475" s="4">
        <v>3</v>
      </c>
      <c r="N475" s="5">
        <v>500</v>
      </c>
      <c r="O475">
        <f>(M475*N475)</f>
        <v>1500</v>
      </c>
      <c r="P475">
        <f>O475*$S$3</f>
        <v>22.5</v>
      </c>
      <c r="Q475">
        <f>O475*$S$4</f>
        <v>30</v>
      </c>
    </row>
    <row r="476" spans="1:17">
      <c r="A476" s="2">
        <v>475</v>
      </c>
      <c r="B476" s="4">
        <f>DAY(G476)</f>
        <v>20</v>
      </c>
      <c r="C476">
        <f>MONTH(G476)</f>
        <v>1</v>
      </c>
      <c r="D476">
        <f>YEAR(G476)</f>
        <v>2023</v>
      </c>
      <c r="E476" t="str">
        <f>TEXT(G476,"DDDD")</f>
        <v>Friday</v>
      </c>
      <c r="F476" t="str">
        <f>TEXT(G476,"MMMM")</f>
        <v>January</v>
      </c>
      <c r="G476" s="3">
        <v>44946</v>
      </c>
      <c r="H476" s="4" t="s">
        <v>508</v>
      </c>
      <c r="I476" s="4" t="s">
        <v>4</v>
      </c>
      <c r="J476" s="4" t="str">
        <f>IF(K476&lt;30, "Young Adult","Adult")</f>
        <v>Young Adult</v>
      </c>
      <c r="K476" s="4">
        <v>26</v>
      </c>
      <c r="L476" s="4" t="s">
        <v>7</v>
      </c>
      <c r="M476" s="4">
        <v>3</v>
      </c>
      <c r="N476" s="5">
        <v>25</v>
      </c>
      <c r="O476">
        <f>(M476*N476)</f>
        <v>75</v>
      </c>
      <c r="P476">
        <f>O476*$S$3</f>
        <v>1.125</v>
      </c>
      <c r="Q476">
        <f>O476*$S$4</f>
        <v>1.5</v>
      </c>
    </row>
    <row r="477" spans="1:17">
      <c r="A477" s="2">
        <v>476</v>
      </c>
      <c r="B477" s="4">
        <f>DAY(G477)</f>
        <v>29</v>
      </c>
      <c r="C477">
        <f>MONTH(G477)</f>
        <v>8</v>
      </c>
      <c r="D477">
        <f>YEAR(G477)</f>
        <v>2023</v>
      </c>
      <c r="E477" t="str">
        <f>TEXT(G477,"DDDD")</f>
        <v>Tuesday</v>
      </c>
      <c r="F477" t="str">
        <f>TEXT(G477,"MMMM")</f>
        <v>August</v>
      </c>
      <c r="G477" s="3">
        <v>45167</v>
      </c>
      <c r="H477" s="4" t="s">
        <v>509</v>
      </c>
      <c r="I477" s="4" t="s">
        <v>3</v>
      </c>
      <c r="J477" s="4" t="str">
        <f>IF(K477&lt;30, "Young Adult","Adult")</f>
        <v>Young Adult</v>
      </c>
      <c r="K477" s="4">
        <v>27</v>
      </c>
      <c r="L477" s="4" t="s">
        <v>7</v>
      </c>
      <c r="M477" s="4">
        <v>4</v>
      </c>
      <c r="N477" s="5">
        <v>500</v>
      </c>
      <c r="O477">
        <f>(M477*N477)</f>
        <v>2000</v>
      </c>
      <c r="P477">
        <f>O477*$S$3</f>
        <v>30</v>
      </c>
      <c r="Q477">
        <f>O477*$S$4</f>
        <v>40</v>
      </c>
    </row>
    <row r="478" spans="1:17">
      <c r="A478" s="2">
        <v>477</v>
      </c>
      <c r="B478" s="4">
        <f>DAY(G478)</f>
        <v>24</v>
      </c>
      <c r="C478">
        <f>MONTH(G478)</f>
        <v>4</v>
      </c>
      <c r="D478">
        <f>YEAR(G478)</f>
        <v>2023</v>
      </c>
      <c r="E478" t="str">
        <f>TEXT(G478,"DDDD")</f>
        <v>Monday</v>
      </c>
      <c r="F478" t="str">
        <f>TEXT(G478,"MMMM")</f>
        <v>April</v>
      </c>
      <c r="G478" s="3">
        <v>45040</v>
      </c>
      <c r="H478" s="4" t="s">
        <v>510</v>
      </c>
      <c r="I478" s="4" t="s">
        <v>4</v>
      </c>
      <c r="J478" s="4" t="str">
        <f>IF(K478&lt;30, "Young Adult","Adult")</f>
        <v>Adult</v>
      </c>
      <c r="K478" s="4">
        <v>43</v>
      </c>
      <c r="L478" s="4" t="s">
        <v>7</v>
      </c>
      <c r="M478" s="4">
        <v>4</v>
      </c>
      <c r="N478" s="5">
        <v>30</v>
      </c>
      <c r="O478">
        <f>(M478*N478)</f>
        <v>120</v>
      </c>
      <c r="P478">
        <f>O478*$S$3</f>
        <v>1.7999999999999998</v>
      </c>
      <c r="Q478">
        <f>O478*$S$4</f>
        <v>2.4</v>
      </c>
    </row>
    <row r="479" spans="1:17">
      <c r="A479" s="2">
        <v>478</v>
      </c>
      <c r="B479" s="4">
        <f>DAY(G479)</f>
        <v>13</v>
      </c>
      <c r="C479">
        <f>MONTH(G479)</f>
        <v>4</v>
      </c>
      <c r="D479">
        <f>YEAR(G479)</f>
        <v>2023</v>
      </c>
      <c r="E479" t="str">
        <f>TEXT(G479,"DDDD")</f>
        <v>Thursday</v>
      </c>
      <c r="F479" t="str">
        <f>TEXT(G479,"MMMM")</f>
        <v>April</v>
      </c>
      <c r="G479" s="3">
        <v>45029</v>
      </c>
      <c r="H479" s="4" t="s">
        <v>511</v>
      </c>
      <c r="I479" s="4" t="s">
        <v>3</v>
      </c>
      <c r="J479" s="4" t="str">
        <f>IF(K479&lt;30, "Young Adult","Adult")</f>
        <v>Adult</v>
      </c>
      <c r="K479" s="4">
        <v>58</v>
      </c>
      <c r="L479" s="4" t="s">
        <v>7</v>
      </c>
      <c r="M479" s="4">
        <v>2</v>
      </c>
      <c r="N479" s="5">
        <v>30</v>
      </c>
      <c r="O479">
        <f>(M479*N479)</f>
        <v>60</v>
      </c>
      <c r="P479">
        <f>O479*$S$3</f>
        <v>0.89999999999999991</v>
      </c>
      <c r="Q479">
        <f>O479*$S$4</f>
        <v>1.2</v>
      </c>
    </row>
    <row r="480" spans="1:17">
      <c r="A480" s="2">
        <v>479</v>
      </c>
      <c r="B480" s="4">
        <f>DAY(G480)</f>
        <v>24</v>
      </c>
      <c r="C480">
        <f>MONTH(G480)</f>
        <v>8</v>
      </c>
      <c r="D480">
        <f>YEAR(G480)</f>
        <v>2023</v>
      </c>
      <c r="E480" t="str">
        <f>TEXT(G480,"DDDD")</f>
        <v>Thursday</v>
      </c>
      <c r="F480" t="str">
        <f>TEXT(G480,"MMMM")</f>
        <v>August</v>
      </c>
      <c r="G480" s="3">
        <v>45162</v>
      </c>
      <c r="H480" s="4" t="s">
        <v>512</v>
      </c>
      <c r="I480" s="4" t="s">
        <v>4</v>
      </c>
      <c r="J480" s="4" t="str">
        <f>IF(K480&lt;30, "Young Adult","Adult")</f>
        <v>Adult</v>
      </c>
      <c r="K480" s="4">
        <v>52</v>
      </c>
      <c r="L480" s="4" t="s">
        <v>8</v>
      </c>
      <c r="M480" s="4">
        <v>4</v>
      </c>
      <c r="N480" s="5">
        <v>300</v>
      </c>
      <c r="O480">
        <f>(M480*N480)</f>
        <v>1200</v>
      </c>
      <c r="P480">
        <f>O480*$S$3</f>
        <v>18</v>
      </c>
      <c r="Q480">
        <f>O480*$S$4</f>
        <v>24</v>
      </c>
    </row>
    <row r="481" spans="1:17">
      <c r="A481" s="2">
        <v>480</v>
      </c>
      <c r="B481" s="4">
        <f>DAY(G481)</f>
        <v>29</v>
      </c>
      <c r="C481">
        <f>MONTH(G481)</f>
        <v>6</v>
      </c>
      <c r="D481">
        <f>YEAR(G481)</f>
        <v>2023</v>
      </c>
      <c r="E481" t="str">
        <f>TEXT(G481,"DDDD")</f>
        <v>Thursday</v>
      </c>
      <c r="F481" t="str">
        <f>TEXT(G481,"MMMM")</f>
        <v>June</v>
      </c>
      <c r="G481" s="3">
        <v>45106</v>
      </c>
      <c r="H481" s="4" t="s">
        <v>513</v>
      </c>
      <c r="I481" s="4" t="s">
        <v>3</v>
      </c>
      <c r="J481" s="4" t="str">
        <f>IF(K481&lt;30, "Young Adult","Adult")</f>
        <v>Adult</v>
      </c>
      <c r="K481" s="4">
        <v>42</v>
      </c>
      <c r="L481" s="4" t="s">
        <v>6</v>
      </c>
      <c r="M481" s="4">
        <v>4</v>
      </c>
      <c r="N481" s="5">
        <v>500</v>
      </c>
      <c r="O481">
        <f>(M481*N481)</f>
        <v>2000</v>
      </c>
      <c r="P481">
        <f>O481*$S$3</f>
        <v>30</v>
      </c>
      <c r="Q481">
        <f>O481*$S$4</f>
        <v>40</v>
      </c>
    </row>
    <row r="482" spans="1:17">
      <c r="A482" s="2">
        <v>481</v>
      </c>
      <c r="B482" s="4">
        <f>DAY(G482)</f>
        <v>6</v>
      </c>
      <c r="C482">
        <f>MONTH(G482)</f>
        <v>6</v>
      </c>
      <c r="D482">
        <f>YEAR(G482)</f>
        <v>2023</v>
      </c>
      <c r="E482" t="str">
        <f>TEXT(G482,"DDDD")</f>
        <v>Tuesday</v>
      </c>
      <c r="F482" t="str">
        <f>TEXT(G482,"MMMM")</f>
        <v>June</v>
      </c>
      <c r="G482" s="3">
        <v>45083</v>
      </c>
      <c r="H482" s="4" t="s">
        <v>514</v>
      </c>
      <c r="I482" s="4" t="s">
        <v>3</v>
      </c>
      <c r="J482" s="4" t="str">
        <f>IF(K482&lt;30, "Young Adult","Adult")</f>
        <v>Adult</v>
      </c>
      <c r="K482" s="4">
        <v>43</v>
      </c>
      <c r="L482" s="4" t="s">
        <v>8</v>
      </c>
      <c r="M482" s="4">
        <v>4</v>
      </c>
      <c r="N482" s="5">
        <v>300</v>
      </c>
      <c r="O482">
        <f>(M482*N482)</f>
        <v>1200</v>
      </c>
      <c r="P482">
        <f>O482*$S$3</f>
        <v>18</v>
      </c>
      <c r="Q482">
        <f>O482*$S$4</f>
        <v>24</v>
      </c>
    </row>
    <row r="483" spans="1:17">
      <c r="A483" s="2">
        <v>482</v>
      </c>
      <c r="B483" s="4">
        <f>DAY(G483)</f>
        <v>27</v>
      </c>
      <c r="C483">
        <f>MONTH(G483)</f>
        <v>4</v>
      </c>
      <c r="D483">
        <f>YEAR(G483)</f>
        <v>2023</v>
      </c>
      <c r="E483" t="str">
        <f>TEXT(G483,"DDDD")</f>
        <v>Thursday</v>
      </c>
      <c r="F483" t="str">
        <f>TEXT(G483,"MMMM")</f>
        <v>April</v>
      </c>
      <c r="G483" s="3">
        <v>45043</v>
      </c>
      <c r="H483" s="4" t="s">
        <v>515</v>
      </c>
      <c r="I483" s="4" t="s">
        <v>3</v>
      </c>
      <c r="J483" s="4" t="str">
        <f>IF(K483&lt;30, "Young Adult","Adult")</f>
        <v>Young Adult</v>
      </c>
      <c r="K483" s="4">
        <v>28</v>
      </c>
      <c r="L483" s="4" t="s">
        <v>7</v>
      </c>
      <c r="M483" s="4">
        <v>4</v>
      </c>
      <c r="N483" s="5">
        <v>300</v>
      </c>
      <c r="O483">
        <f>(M483*N483)</f>
        <v>1200</v>
      </c>
      <c r="P483">
        <f>O483*$S$3</f>
        <v>18</v>
      </c>
      <c r="Q483">
        <f>O483*$S$4</f>
        <v>24</v>
      </c>
    </row>
    <row r="484" spans="1:17">
      <c r="A484" s="2">
        <v>483</v>
      </c>
      <c r="B484" s="4">
        <f>DAY(G484)</f>
        <v>25</v>
      </c>
      <c r="C484">
        <f>MONTH(G484)</f>
        <v>4</v>
      </c>
      <c r="D484">
        <f>YEAR(G484)</f>
        <v>2023</v>
      </c>
      <c r="E484" t="str">
        <f>TEXT(G484,"DDDD")</f>
        <v>Tuesday</v>
      </c>
      <c r="F484" t="str">
        <f>TEXT(G484,"MMMM")</f>
        <v>April</v>
      </c>
      <c r="G484" s="3">
        <v>45041</v>
      </c>
      <c r="H484" s="4" t="s">
        <v>516</v>
      </c>
      <c r="I484" s="4" t="s">
        <v>4</v>
      </c>
      <c r="J484" s="4" t="str">
        <f>IF(K484&lt;30, "Young Adult","Adult")</f>
        <v>Adult</v>
      </c>
      <c r="K484" s="4">
        <v>55</v>
      </c>
      <c r="L484" s="4" t="s">
        <v>7</v>
      </c>
      <c r="M484" s="4">
        <v>1</v>
      </c>
      <c r="N484" s="5">
        <v>30</v>
      </c>
      <c r="O484">
        <f>(M484*N484)</f>
        <v>30</v>
      </c>
      <c r="P484">
        <f>O484*$S$3</f>
        <v>0.44999999999999996</v>
      </c>
      <c r="Q484">
        <f>O484*$S$4</f>
        <v>0.6</v>
      </c>
    </row>
    <row r="485" spans="1:17">
      <c r="A485" s="2">
        <v>484</v>
      </c>
      <c r="B485" s="4">
        <f>DAY(G485)</f>
        <v>13</v>
      </c>
      <c r="C485">
        <f>MONTH(G485)</f>
        <v>1</v>
      </c>
      <c r="D485">
        <f>YEAR(G485)</f>
        <v>2023</v>
      </c>
      <c r="E485" t="str">
        <f>TEXT(G485,"DDDD")</f>
        <v>Friday</v>
      </c>
      <c r="F485" t="str">
        <f>TEXT(G485,"MMMM")</f>
        <v>January</v>
      </c>
      <c r="G485" s="3">
        <v>44939</v>
      </c>
      <c r="H485" s="4" t="s">
        <v>517</v>
      </c>
      <c r="I485" s="4" t="s">
        <v>3</v>
      </c>
      <c r="J485" s="4" t="str">
        <f>IF(K485&lt;30, "Young Adult","Adult")</f>
        <v>Young Adult</v>
      </c>
      <c r="K485" s="4">
        <v>19</v>
      </c>
      <c r="L485" s="4" t="s">
        <v>7</v>
      </c>
      <c r="M485" s="4">
        <v>4</v>
      </c>
      <c r="N485" s="5">
        <v>300</v>
      </c>
      <c r="O485">
        <f>(M485*N485)</f>
        <v>1200</v>
      </c>
      <c r="P485">
        <f>O485*$S$3</f>
        <v>18</v>
      </c>
      <c r="Q485">
        <f>O485*$S$4</f>
        <v>24</v>
      </c>
    </row>
    <row r="486" spans="1:17">
      <c r="A486" s="2">
        <v>485</v>
      </c>
      <c r="B486" s="4">
        <f>DAY(G486)</f>
        <v>4</v>
      </c>
      <c r="C486">
        <f>MONTH(G486)</f>
        <v>12</v>
      </c>
      <c r="D486">
        <f>YEAR(G486)</f>
        <v>2023</v>
      </c>
      <c r="E486" t="str">
        <f>TEXT(G486,"DDDD")</f>
        <v>Monday</v>
      </c>
      <c r="F486" t="str">
        <f>TEXT(G486,"MMMM")</f>
        <v>December</v>
      </c>
      <c r="G486" s="3">
        <v>45264</v>
      </c>
      <c r="H486" s="4" t="s">
        <v>518</v>
      </c>
      <c r="I486" s="4" t="s">
        <v>4</v>
      </c>
      <c r="J486" s="4" t="str">
        <f>IF(K486&lt;30, "Young Adult","Adult")</f>
        <v>Young Adult</v>
      </c>
      <c r="K486" s="4">
        <v>24</v>
      </c>
      <c r="L486" s="4" t="s">
        <v>8</v>
      </c>
      <c r="M486" s="4">
        <v>1</v>
      </c>
      <c r="N486" s="5">
        <v>30</v>
      </c>
      <c r="O486">
        <f>(M486*N486)</f>
        <v>30</v>
      </c>
      <c r="P486">
        <f>O486*$S$3</f>
        <v>0.44999999999999996</v>
      </c>
      <c r="Q486">
        <f>O486*$S$4</f>
        <v>0.6</v>
      </c>
    </row>
    <row r="487" spans="1:17">
      <c r="A487" s="2">
        <v>486</v>
      </c>
      <c r="B487" s="4">
        <f>DAY(G487)</f>
        <v>9</v>
      </c>
      <c r="C487">
        <f>MONTH(G487)</f>
        <v>4</v>
      </c>
      <c r="D487">
        <f>YEAR(G487)</f>
        <v>2023</v>
      </c>
      <c r="E487" t="str">
        <f>TEXT(G487,"DDDD")</f>
        <v>Sunday</v>
      </c>
      <c r="F487" t="str">
        <f>TEXT(G487,"MMMM")</f>
        <v>April</v>
      </c>
      <c r="G487" s="3">
        <v>45025</v>
      </c>
      <c r="H487" s="4" t="s">
        <v>519</v>
      </c>
      <c r="I487" s="4" t="s">
        <v>3</v>
      </c>
      <c r="J487" s="4" t="str">
        <f>IF(K487&lt;30, "Young Adult","Adult")</f>
        <v>Adult</v>
      </c>
      <c r="K487" s="4">
        <v>35</v>
      </c>
      <c r="L487" s="4" t="s">
        <v>8</v>
      </c>
      <c r="M487" s="4">
        <v>1</v>
      </c>
      <c r="N487" s="5">
        <v>25</v>
      </c>
      <c r="O487">
        <f>(M487*N487)</f>
        <v>25</v>
      </c>
      <c r="P487">
        <f>O487*$S$3</f>
        <v>0.375</v>
      </c>
      <c r="Q487">
        <f>O487*$S$4</f>
        <v>0.5</v>
      </c>
    </row>
    <row r="488" spans="1:17">
      <c r="A488" s="2">
        <v>487</v>
      </c>
      <c r="B488" s="4">
        <f>DAY(G488)</f>
        <v>24</v>
      </c>
      <c r="C488">
        <f>MONTH(G488)</f>
        <v>7</v>
      </c>
      <c r="D488">
        <f>YEAR(G488)</f>
        <v>2023</v>
      </c>
      <c r="E488" t="str">
        <f>TEXT(G488,"DDDD")</f>
        <v>Monday</v>
      </c>
      <c r="F488" t="str">
        <f>TEXT(G488,"MMMM")</f>
        <v>July</v>
      </c>
      <c r="G488" s="3">
        <v>45131</v>
      </c>
      <c r="H488" s="4" t="s">
        <v>520</v>
      </c>
      <c r="I488" s="4" t="s">
        <v>4</v>
      </c>
      <c r="J488" s="4" t="str">
        <f>IF(K488&lt;30, "Young Adult","Adult")</f>
        <v>Adult</v>
      </c>
      <c r="K488" s="4">
        <v>44</v>
      </c>
      <c r="L488" s="4" t="s">
        <v>7</v>
      </c>
      <c r="M488" s="4">
        <v>4</v>
      </c>
      <c r="N488" s="5">
        <v>500</v>
      </c>
      <c r="O488">
        <f>(M488*N488)</f>
        <v>2000</v>
      </c>
      <c r="P488">
        <f>O488*$S$3</f>
        <v>30</v>
      </c>
      <c r="Q488">
        <f>O488*$S$4</f>
        <v>40</v>
      </c>
    </row>
    <row r="489" spans="1:17">
      <c r="A489" s="2">
        <v>488</v>
      </c>
      <c r="B489" s="4">
        <f>DAY(G489)</f>
        <v>18</v>
      </c>
      <c r="C489">
        <f>MONTH(G489)</f>
        <v>6</v>
      </c>
      <c r="D489">
        <f>YEAR(G489)</f>
        <v>2023</v>
      </c>
      <c r="E489" t="str">
        <f>TEXT(G489,"DDDD")</f>
        <v>Sunday</v>
      </c>
      <c r="F489" t="str">
        <f>TEXT(G489,"MMMM")</f>
        <v>June</v>
      </c>
      <c r="G489" s="3">
        <v>45095</v>
      </c>
      <c r="H489" s="4" t="s">
        <v>521</v>
      </c>
      <c r="I489" s="4" t="s">
        <v>3</v>
      </c>
      <c r="J489" s="4" t="str">
        <f>IF(K489&lt;30, "Young Adult","Adult")</f>
        <v>Adult</v>
      </c>
      <c r="K489" s="4">
        <v>51</v>
      </c>
      <c r="L489" s="4" t="s">
        <v>8</v>
      </c>
      <c r="M489" s="4">
        <v>3</v>
      </c>
      <c r="N489" s="5">
        <v>300</v>
      </c>
      <c r="O489">
        <f>(M489*N489)</f>
        <v>900</v>
      </c>
      <c r="P489">
        <f>O489*$S$3</f>
        <v>13.5</v>
      </c>
      <c r="Q489">
        <f>O489*$S$4</f>
        <v>18</v>
      </c>
    </row>
    <row r="490" spans="1:17">
      <c r="A490" s="2">
        <v>489</v>
      </c>
      <c r="B490" s="4">
        <f>DAY(G490)</f>
        <v>23</v>
      </c>
      <c r="C490">
        <f>MONTH(G490)</f>
        <v>5</v>
      </c>
      <c r="D490">
        <f>YEAR(G490)</f>
        <v>2023</v>
      </c>
      <c r="E490" t="str">
        <f>TEXT(G490,"DDDD")</f>
        <v>Tuesday</v>
      </c>
      <c r="F490" t="str">
        <f>TEXT(G490,"MMMM")</f>
        <v>May</v>
      </c>
      <c r="G490" s="3">
        <v>45069</v>
      </c>
      <c r="H490" s="4" t="s">
        <v>522</v>
      </c>
      <c r="I490" s="4" t="s">
        <v>4</v>
      </c>
      <c r="J490" s="4" t="str">
        <f>IF(K490&lt;30, "Young Adult","Adult")</f>
        <v>Adult</v>
      </c>
      <c r="K490" s="4">
        <v>44</v>
      </c>
      <c r="L490" s="4" t="s">
        <v>8</v>
      </c>
      <c r="M490" s="4">
        <v>1</v>
      </c>
      <c r="N490" s="5">
        <v>30</v>
      </c>
      <c r="O490">
        <f>(M490*N490)</f>
        <v>30</v>
      </c>
      <c r="P490">
        <f>O490*$S$3</f>
        <v>0.44999999999999996</v>
      </c>
      <c r="Q490">
        <f>O490*$S$4</f>
        <v>0.6</v>
      </c>
    </row>
    <row r="491" spans="1:17">
      <c r="A491" s="2">
        <v>490</v>
      </c>
      <c r="B491" s="4">
        <f>DAY(G491)</f>
        <v>5</v>
      </c>
      <c r="C491">
        <f>MONTH(G491)</f>
        <v>2</v>
      </c>
      <c r="D491">
        <f>YEAR(G491)</f>
        <v>2023</v>
      </c>
      <c r="E491" t="str">
        <f>TEXT(G491,"DDDD")</f>
        <v>Sunday</v>
      </c>
      <c r="F491" t="str">
        <f>TEXT(G491,"MMMM")</f>
        <v>February</v>
      </c>
      <c r="G491" s="3">
        <v>44962</v>
      </c>
      <c r="H491" s="4" t="s">
        <v>523</v>
      </c>
      <c r="I491" s="4" t="s">
        <v>4</v>
      </c>
      <c r="J491" s="4" t="str">
        <f>IF(K491&lt;30, "Young Adult","Adult")</f>
        <v>Adult</v>
      </c>
      <c r="K491" s="4">
        <v>34</v>
      </c>
      <c r="L491" s="4" t="s">
        <v>7</v>
      </c>
      <c r="M491" s="4">
        <v>3</v>
      </c>
      <c r="N491" s="5">
        <v>50</v>
      </c>
      <c r="O491">
        <f>(M491*N491)</f>
        <v>150</v>
      </c>
      <c r="P491">
        <f>O491*$S$3</f>
        <v>2.25</v>
      </c>
      <c r="Q491">
        <f>O491*$S$4</f>
        <v>3</v>
      </c>
    </row>
    <row r="492" spans="1:17">
      <c r="A492" s="2">
        <v>491</v>
      </c>
      <c r="B492" s="4">
        <f>DAY(G492)</f>
        <v>23</v>
      </c>
      <c r="C492">
        <f>MONTH(G492)</f>
        <v>5</v>
      </c>
      <c r="D492">
        <f>YEAR(G492)</f>
        <v>2023</v>
      </c>
      <c r="E492" t="str">
        <f>TEXT(G492,"DDDD")</f>
        <v>Tuesday</v>
      </c>
      <c r="F492" t="str">
        <f>TEXT(G492,"MMMM")</f>
        <v>May</v>
      </c>
      <c r="G492" s="3">
        <v>45069</v>
      </c>
      <c r="H492" s="4" t="s">
        <v>524</v>
      </c>
      <c r="I492" s="4" t="s">
        <v>3</v>
      </c>
      <c r="J492" s="4" t="str">
        <f>IF(K492&lt;30, "Young Adult","Adult")</f>
        <v>Adult</v>
      </c>
      <c r="K492" s="4">
        <v>60</v>
      </c>
      <c r="L492" s="4" t="s">
        <v>8</v>
      </c>
      <c r="M492" s="4">
        <v>3</v>
      </c>
      <c r="N492" s="5">
        <v>300</v>
      </c>
      <c r="O492">
        <f>(M492*N492)</f>
        <v>900</v>
      </c>
      <c r="P492">
        <f>O492*$S$3</f>
        <v>13.5</v>
      </c>
      <c r="Q492">
        <f>O492*$S$4</f>
        <v>18</v>
      </c>
    </row>
    <row r="493" spans="1:17">
      <c r="A493" s="2">
        <v>492</v>
      </c>
      <c r="B493" s="4">
        <f>DAY(G493)</f>
        <v>29</v>
      </c>
      <c r="C493">
        <f>MONTH(G493)</f>
        <v>6</v>
      </c>
      <c r="D493">
        <f>YEAR(G493)</f>
        <v>2023</v>
      </c>
      <c r="E493" t="str">
        <f>TEXT(G493,"DDDD")</f>
        <v>Thursday</v>
      </c>
      <c r="F493" t="str">
        <f>TEXT(G493,"MMMM")</f>
        <v>June</v>
      </c>
      <c r="G493" s="3">
        <v>45106</v>
      </c>
      <c r="H493" s="4" t="s">
        <v>525</v>
      </c>
      <c r="I493" s="4" t="s">
        <v>4</v>
      </c>
      <c r="J493" s="4" t="str">
        <f>IF(K493&lt;30, "Young Adult","Adult")</f>
        <v>Adult</v>
      </c>
      <c r="K493" s="4">
        <v>61</v>
      </c>
      <c r="L493" s="4" t="s">
        <v>6</v>
      </c>
      <c r="M493" s="4">
        <v>4</v>
      </c>
      <c r="N493" s="5">
        <v>25</v>
      </c>
      <c r="O493">
        <f>(M493*N493)</f>
        <v>100</v>
      </c>
      <c r="P493">
        <f>O493*$S$3</f>
        <v>1.5</v>
      </c>
      <c r="Q493">
        <f>O493*$S$4</f>
        <v>2</v>
      </c>
    </row>
    <row r="494" spans="1:17">
      <c r="A494" s="2">
        <v>493</v>
      </c>
      <c r="B494" s="4">
        <f>DAY(G494)</f>
        <v>25</v>
      </c>
      <c r="C494">
        <f>MONTH(G494)</f>
        <v>11</v>
      </c>
      <c r="D494">
        <f>YEAR(G494)</f>
        <v>2023</v>
      </c>
      <c r="E494" t="str">
        <f>TEXT(G494,"DDDD")</f>
        <v>Saturday</v>
      </c>
      <c r="F494" t="str">
        <f>TEXT(G494,"MMMM")</f>
        <v>November</v>
      </c>
      <c r="G494" s="3">
        <v>45255</v>
      </c>
      <c r="H494" s="4" t="s">
        <v>526</v>
      </c>
      <c r="I494" s="4" t="s">
        <v>4</v>
      </c>
      <c r="J494" s="4" t="str">
        <f>IF(K494&lt;30, "Young Adult","Adult")</f>
        <v>Adult</v>
      </c>
      <c r="K494" s="4">
        <v>41</v>
      </c>
      <c r="L494" s="4" t="s">
        <v>6</v>
      </c>
      <c r="M494" s="4">
        <v>2</v>
      </c>
      <c r="N494" s="5">
        <v>25</v>
      </c>
      <c r="O494">
        <f>(M494*N494)</f>
        <v>50</v>
      </c>
      <c r="P494">
        <f>O494*$S$3</f>
        <v>0.75</v>
      </c>
      <c r="Q494">
        <f>O494*$S$4</f>
        <v>1</v>
      </c>
    </row>
    <row r="495" spans="1:17">
      <c r="A495" s="2">
        <v>494</v>
      </c>
      <c r="B495" s="4">
        <f>DAY(G495)</f>
        <v>18</v>
      </c>
      <c r="C495">
        <f>MONTH(G495)</f>
        <v>9</v>
      </c>
      <c r="D495">
        <f>YEAR(G495)</f>
        <v>2023</v>
      </c>
      <c r="E495" t="str">
        <f>TEXT(G495,"DDDD")</f>
        <v>Monday</v>
      </c>
      <c r="F495" t="str">
        <f>TEXT(G495,"MMMM")</f>
        <v>September</v>
      </c>
      <c r="G495" s="3">
        <v>45187</v>
      </c>
      <c r="H495" s="4" t="s">
        <v>527</v>
      </c>
      <c r="I495" s="4" t="s">
        <v>3</v>
      </c>
      <c r="J495" s="4" t="str">
        <f>IF(K495&lt;30, "Young Adult","Adult")</f>
        <v>Adult</v>
      </c>
      <c r="K495" s="4">
        <v>42</v>
      </c>
      <c r="L495" s="4" t="s">
        <v>6</v>
      </c>
      <c r="M495" s="4">
        <v>4</v>
      </c>
      <c r="N495" s="5">
        <v>50</v>
      </c>
      <c r="O495">
        <f>(M495*N495)</f>
        <v>200</v>
      </c>
      <c r="P495">
        <f>O495*$S$3</f>
        <v>3</v>
      </c>
      <c r="Q495">
        <f>O495*$S$4</f>
        <v>4</v>
      </c>
    </row>
    <row r="496" spans="1:17">
      <c r="A496" s="2">
        <v>495</v>
      </c>
      <c r="B496" s="4">
        <f>DAY(G496)</f>
        <v>24</v>
      </c>
      <c r="C496">
        <f>MONTH(G496)</f>
        <v>7</v>
      </c>
      <c r="D496">
        <f>YEAR(G496)</f>
        <v>2023</v>
      </c>
      <c r="E496" t="str">
        <f>TEXT(G496,"DDDD")</f>
        <v>Monday</v>
      </c>
      <c r="F496" t="str">
        <f>TEXT(G496,"MMMM")</f>
        <v>July</v>
      </c>
      <c r="G496" s="3">
        <v>45131</v>
      </c>
      <c r="H496" s="4" t="s">
        <v>528</v>
      </c>
      <c r="I496" s="4" t="s">
        <v>4</v>
      </c>
      <c r="J496" s="4" t="str">
        <f>IF(K496&lt;30, "Young Adult","Adult")</f>
        <v>Young Adult</v>
      </c>
      <c r="K496" s="4">
        <v>24</v>
      </c>
      <c r="L496" s="4" t="s">
        <v>6</v>
      </c>
      <c r="M496" s="4">
        <v>2</v>
      </c>
      <c r="N496" s="5">
        <v>30</v>
      </c>
      <c r="O496">
        <f>(M496*N496)</f>
        <v>60</v>
      </c>
      <c r="P496">
        <f>O496*$S$3</f>
        <v>0.89999999999999991</v>
      </c>
      <c r="Q496">
        <f>O496*$S$4</f>
        <v>1.2</v>
      </c>
    </row>
    <row r="497" spans="1:17">
      <c r="A497" s="2">
        <v>496</v>
      </c>
      <c r="B497" s="4">
        <f>DAY(G497)</f>
        <v>14</v>
      </c>
      <c r="C497">
        <f>MONTH(G497)</f>
        <v>12</v>
      </c>
      <c r="D497">
        <f>YEAR(G497)</f>
        <v>2023</v>
      </c>
      <c r="E497" t="str">
        <f>TEXT(G497,"DDDD")</f>
        <v>Thursday</v>
      </c>
      <c r="F497" t="str">
        <f>TEXT(G497,"MMMM")</f>
        <v>December</v>
      </c>
      <c r="G497" s="3">
        <v>45274</v>
      </c>
      <c r="H497" s="4" t="s">
        <v>529</v>
      </c>
      <c r="I497" s="4" t="s">
        <v>4</v>
      </c>
      <c r="J497" s="4" t="str">
        <f>IF(K497&lt;30, "Young Adult","Adult")</f>
        <v>Young Adult</v>
      </c>
      <c r="K497" s="4">
        <v>23</v>
      </c>
      <c r="L497" s="4" t="s">
        <v>7</v>
      </c>
      <c r="M497" s="4">
        <v>2</v>
      </c>
      <c r="N497" s="5">
        <v>300</v>
      </c>
      <c r="O497">
        <f>(M497*N497)</f>
        <v>600</v>
      </c>
      <c r="P497">
        <f>O497*$S$3</f>
        <v>9</v>
      </c>
      <c r="Q497">
        <f>O497*$S$4</f>
        <v>12</v>
      </c>
    </row>
    <row r="498" spans="1:17">
      <c r="A498" s="2">
        <v>497</v>
      </c>
      <c r="B498" s="4">
        <f>DAY(G498)</f>
        <v>2</v>
      </c>
      <c r="C498">
        <f>MONTH(G498)</f>
        <v>10</v>
      </c>
      <c r="D498">
        <f>YEAR(G498)</f>
        <v>2023</v>
      </c>
      <c r="E498" t="str">
        <f>TEXT(G498,"DDDD")</f>
        <v>Monday</v>
      </c>
      <c r="F498" t="str">
        <f>TEXT(G498,"MMMM")</f>
        <v>October</v>
      </c>
      <c r="G498" s="3">
        <v>45201</v>
      </c>
      <c r="H498" s="4" t="s">
        <v>530</v>
      </c>
      <c r="I498" s="4" t="s">
        <v>4</v>
      </c>
      <c r="J498" s="4" t="str">
        <f>IF(K498&lt;30, "Young Adult","Adult")</f>
        <v>Adult</v>
      </c>
      <c r="K498" s="4">
        <v>41</v>
      </c>
      <c r="L498" s="4" t="s">
        <v>7</v>
      </c>
      <c r="M498" s="4">
        <v>4</v>
      </c>
      <c r="N498" s="5">
        <v>30</v>
      </c>
      <c r="O498">
        <f>(M498*N498)</f>
        <v>120</v>
      </c>
      <c r="P498">
        <f>O498*$S$3</f>
        <v>1.7999999999999998</v>
      </c>
      <c r="Q498">
        <f>O498*$S$4</f>
        <v>2.4</v>
      </c>
    </row>
    <row r="499" spans="1:17">
      <c r="A499" s="2">
        <v>498</v>
      </c>
      <c r="B499" s="4">
        <f>DAY(G499)</f>
        <v>19</v>
      </c>
      <c r="C499">
        <f>MONTH(G499)</f>
        <v>6</v>
      </c>
      <c r="D499">
        <f>YEAR(G499)</f>
        <v>2023</v>
      </c>
      <c r="E499" t="str">
        <f>TEXT(G499,"DDDD")</f>
        <v>Monday</v>
      </c>
      <c r="F499" t="str">
        <f>TEXT(G499,"MMMM")</f>
        <v>June</v>
      </c>
      <c r="G499" s="3">
        <v>45096</v>
      </c>
      <c r="H499" s="4" t="s">
        <v>531</v>
      </c>
      <c r="I499" s="4" t="s">
        <v>3</v>
      </c>
      <c r="J499" s="4" t="str">
        <f>IF(K499&lt;30, "Young Adult","Adult")</f>
        <v>Adult</v>
      </c>
      <c r="K499" s="4">
        <v>50</v>
      </c>
      <c r="L499" s="4" t="s">
        <v>7</v>
      </c>
      <c r="M499" s="4">
        <v>4</v>
      </c>
      <c r="N499" s="5">
        <v>25</v>
      </c>
      <c r="O499">
        <f>(M499*N499)</f>
        <v>100</v>
      </c>
      <c r="P499">
        <f>O499*$S$3</f>
        <v>1.5</v>
      </c>
      <c r="Q499">
        <f>O499*$S$4</f>
        <v>2</v>
      </c>
    </row>
    <row r="500" spans="1:17">
      <c r="A500" s="2">
        <v>499</v>
      </c>
      <c r="B500" s="4">
        <f>DAY(G500)</f>
        <v>15</v>
      </c>
      <c r="C500">
        <f>MONTH(G500)</f>
        <v>1</v>
      </c>
      <c r="D500">
        <f>YEAR(G500)</f>
        <v>2023</v>
      </c>
      <c r="E500" t="str">
        <f>TEXT(G500,"DDDD")</f>
        <v>Sunday</v>
      </c>
      <c r="F500" t="str">
        <f>TEXT(G500,"MMMM")</f>
        <v>January</v>
      </c>
      <c r="G500" s="3">
        <v>44941</v>
      </c>
      <c r="H500" s="4" t="s">
        <v>532</v>
      </c>
      <c r="I500" s="4" t="s">
        <v>4</v>
      </c>
      <c r="J500" s="4" t="str">
        <f>IF(K500&lt;30, "Young Adult","Adult")</f>
        <v>Adult</v>
      </c>
      <c r="K500" s="4">
        <v>46</v>
      </c>
      <c r="L500" s="4" t="s">
        <v>6</v>
      </c>
      <c r="M500" s="4">
        <v>2</v>
      </c>
      <c r="N500" s="5">
        <v>30</v>
      </c>
      <c r="O500">
        <f>(M500*N500)</f>
        <v>60</v>
      </c>
      <c r="P500">
        <f>O500*$S$3</f>
        <v>0.89999999999999991</v>
      </c>
      <c r="Q500">
        <f>O500*$S$4</f>
        <v>1.2</v>
      </c>
    </row>
    <row r="501" spans="1:17">
      <c r="A501" s="2">
        <v>500</v>
      </c>
      <c r="B501" s="4">
        <f>DAY(G501)</f>
        <v>1</v>
      </c>
      <c r="C501">
        <f>MONTH(G501)</f>
        <v>3</v>
      </c>
      <c r="D501">
        <f>YEAR(G501)</f>
        <v>2023</v>
      </c>
      <c r="E501" t="str">
        <f>TEXT(G501,"DDDD")</f>
        <v>Wednesday</v>
      </c>
      <c r="F501" t="str">
        <f>TEXT(G501,"MMMM")</f>
        <v>March</v>
      </c>
      <c r="G501" s="3">
        <v>44986</v>
      </c>
      <c r="H501" s="4" t="s">
        <v>533</v>
      </c>
      <c r="I501" s="4" t="s">
        <v>3</v>
      </c>
      <c r="J501" s="4" t="str">
        <f>IF(K501&lt;30, "Young Adult","Adult")</f>
        <v>Adult</v>
      </c>
      <c r="K501" s="4">
        <v>60</v>
      </c>
      <c r="L501" s="4" t="s">
        <v>6</v>
      </c>
      <c r="M501" s="4">
        <v>4</v>
      </c>
      <c r="N501" s="5">
        <v>25</v>
      </c>
      <c r="O501">
        <f>(M501*N501)</f>
        <v>100</v>
      </c>
      <c r="P501">
        <f>O501*$S$3</f>
        <v>1.5</v>
      </c>
      <c r="Q501">
        <f>O501*$S$4</f>
        <v>2</v>
      </c>
    </row>
    <row r="502" spans="1:17">
      <c r="A502" s="2">
        <v>501</v>
      </c>
      <c r="B502" s="4">
        <f>DAY(G502)</f>
        <v>14</v>
      </c>
      <c r="C502">
        <f>MONTH(G502)</f>
        <v>5</v>
      </c>
      <c r="D502">
        <f>YEAR(G502)</f>
        <v>2023</v>
      </c>
      <c r="E502" t="str">
        <f>TEXT(G502,"DDDD")</f>
        <v>Sunday</v>
      </c>
      <c r="F502" t="str">
        <f>TEXT(G502,"MMMM")</f>
        <v>May</v>
      </c>
      <c r="G502" s="3">
        <v>45060</v>
      </c>
      <c r="H502" s="4" t="s">
        <v>534</v>
      </c>
      <c r="I502" s="4" t="s">
        <v>4</v>
      </c>
      <c r="J502" s="4" t="str">
        <f>IF(K502&lt;30, "Young Adult","Adult")</f>
        <v>Adult</v>
      </c>
      <c r="K502" s="4">
        <v>39</v>
      </c>
      <c r="L502" s="4" t="s">
        <v>8</v>
      </c>
      <c r="M502" s="4">
        <v>2</v>
      </c>
      <c r="N502" s="5">
        <v>30</v>
      </c>
      <c r="O502">
        <f>(M502*N502)</f>
        <v>60</v>
      </c>
      <c r="P502">
        <f>O502*$S$3</f>
        <v>0.89999999999999991</v>
      </c>
      <c r="Q502">
        <f>O502*$S$4</f>
        <v>1.2</v>
      </c>
    </row>
    <row r="503" spans="1:17">
      <c r="A503" s="2">
        <v>502</v>
      </c>
      <c r="B503" s="4">
        <f>DAY(G503)</f>
        <v>2</v>
      </c>
      <c r="C503">
        <f>MONTH(G503)</f>
        <v>4</v>
      </c>
      <c r="D503">
        <f>YEAR(G503)</f>
        <v>2023</v>
      </c>
      <c r="E503" t="str">
        <f>TEXT(G503,"DDDD")</f>
        <v>Sunday</v>
      </c>
      <c r="F503" t="str">
        <f>TEXT(G503,"MMMM")</f>
        <v>April</v>
      </c>
      <c r="G503" s="3">
        <v>45018</v>
      </c>
      <c r="H503" s="4" t="s">
        <v>535</v>
      </c>
      <c r="I503" s="4" t="s">
        <v>4</v>
      </c>
      <c r="J503" s="4" t="str">
        <f>IF(K503&lt;30, "Young Adult","Adult")</f>
        <v>Adult</v>
      </c>
      <c r="K503" s="4">
        <v>43</v>
      </c>
      <c r="L503" s="4" t="s">
        <v>8</v>
      </c>
      <c r="M503" s="4">
        <v>3</v>
      </c>
      <c r="N503" s="5">
        <v>50</v>
      </c>
      <c r="O503">
        <f>(M503*N503)</f>
        <v>150</v>
      </c>
      <c r="P503">
        <f>O503*$S$3</f>
        <v>2.25</v>
      </c>
      <c r="Q503">
        <f>O503*$S$4</f>
        <v>3</v>
      </c>
    </row>
    <row r="504" spans="1:17">
      <c r="A504" s="2">
        <v>503</v>
      </c>
      <c r="B504" s="4">
        <f>DAY(G504)</f>
        <v>25</v>
      </c>
      <c r="C504">
        <f>MONTH(G504)</f>
        <v>10</v>
      </c>
      <c r="D504">
        <f>YEAR(G504)</f>
        <v>2023</v>
      </c>
      <c r="E504" t="str">
        <f>TEXT(G504,"DDDD")</f>
        <v>Wednesday</v>
      </c>
      <c r="F504" t="str">
        <f>TEXT(G504,"MMMM")</f>
        <v>October</v>
      </c>
      <c r="G504" s="3">
        <v>45224</v>
      </c>
      <c r="H504" s="4" t="s">
        <v>536</v>
      </c>
      <c r="I504" s="4" t="s">
        <v>4</v>
      </c>
      <c r="J504" s="4" t="str">
        <f>IF(K504&lt;30, "Young Adult","Adult")</f>
        <v>Adult</v>
      </c>
      <c r="K504" s="4">
        <v>45</v>
      </c>
      <c r="L504" s="4" t="s">
        <v>6</v>
      </c>
      <c r="M504" s="4">
        <v>4</v>
      </c>
      <c r="N504" s="5">
        <v>500</v>
      </c>
      <c r="O504">
        <f>(M504*N504)</f>
        <v>2000</v>
      </c>
      <c r="P504">
        <f>O504*$S$3</f>
        <v>30</v>
      </c>
      <c r="Q504">
        <f>O504*$S$4</f>
        <v>40</v>
      </c>
    </row>
    <row r="505" spans="1:17">
      <c r="A505" s="2">
        <v>504</v>
      </c>
      <c r="B505" s="4">
        <f>DAY(G505)</f>
        <v>16</v>
      </c>
      <c r="C505">
        <f>MONTH(G505)</f>
        <v>5</v>
      </c>
      <c r="D505">
        <f>YEAR(G505)</f>
        <v>2023</v>
      </c>
      <c r="E505" t="str">
        <f>TEXT(G505,"DDDD")</f>
        <v>Tuesday</v>
      </c>
      <c r="F505" t="str">
        <f>TEXT(G505,"MMMM")</f>
        <v>May</v>
      </c>
      <c r="G505" s="3">
        <v>45062</v>
      </c>
      <c r="H505" s="4" t="s">
        <v>537</v>
      </c>
      <c r="I505" s="4" t="s">
        <v>3</v>
      </c>
      <c r="J505" s="4" t="str">
        <f>IF(K505&lt;30, "Young Adult","Adult")</f>
        <v>Adult</v>
      </c>
      <c r="K505" s="4">
        <v>38</v>
      </c>
      <c r="L505" s="4" t="s">
        <v>6</v>
      </c>
      <c r="M505" s="4">
        <v>3</v>
      </c>
      <c r="N505" s="5">
        <v>50</v>
      </c>
      <c r="O505">
        <f>(M505*N505)</f>
        <v>150</v>
      </c>
      <c r="P505">
        <f>O505*$S$3</f>
        <v>2.25</v>
      </c>
      <c r="Q505">
        <f>O505*$S$4</f>
        <v>3</v>
      </c>
    </row>
    <row r="506" spans="1:17">
      <c r="A506" s="2">
        <v>505</v>
      </c>
      <c r="B506" s="4">
        <f>DAY(G506)</f>
        <v>20</v>
      </c>
      <c r="C506">
        <f>MONTH(G506)</f>
        <v>1</v>
      </c>
      <c r="D506">
        <f>YEAR(G506)</f>
        <v>2023</v>
      </c>
      <c r="E506" t="str">
        <f>TEXT(G506,"DDDD")</f>
        <v>Friday</v>
      </c>
      <c r="F506" t="str">
        <f>TEXT(G506,"MMMM")</f>
        <v>January</v>
      </c>
      <c r="G506" s="3">
        <v>44946</v>
      </c>
      <c r="H506" s="4" t="s">
        <v>538</v>
      </c>
      <c r="I506" s="4" t="s">
        <v>4</v>
      </c>
      <c r="J506" s="4" t="str">
        <f>IF(K506&lt;30, "Young Adult","Adult")</f>
        <v>Young Adult</v>
      </c>
      <c r="K506" s="4">
        <v>24</v>
      </c>
      <c r="L506" s="4" t="s">
        <v>6</v>
      </c>
      <c r="M506" s="4">
        <v>1</v>
      </c>
      <c r="N506" s="5">
        <v>50</v>
      </c>
      <c r="O506">
        <f>(M506*N506)</f>
        <v>50</v>
      </c>
      <c r="P506">
        <f>O506*$S$3</f>
        <v>0.75</v>
      </c>
      <c r="Q506">
        <f>O506*$S$4</f>
        <v>1</v>
      </c>
    </row>
    <row r="507" spans="1:17">
      <c r="A507" s="2">
        <v>506</v>
      </c>
      <c r="B507" s="4">
        <f>DAY(G507)</f>
        <v>25</v>
      </c>
      <c r="C507">
        <f>MONTH(G507)</f>
        <v>2</v>
      </c>
      <c r="D507">
        <f>YEAR(G507)</f>
        <v>2023</v>
      </c>
      <c r="E507" t="str">
        <f>TEXT(G507,"DDDD")</f>
        <v>Saturday</v>
      </c>
      <c r="F507" t="str">
        <f>TEXT(G507,"MMMM")</f>
        <v>February</v>
      </c>
      <c r="G507" s="3">
        <v>44982</v>
      </c>
      <c r="H507" s="4" t="s">
        <v>539</v>
      </c>
      <c r="I507" s="4" t="s">
        <v>4</v>
      </c>
      <c r="J507" s="4" t="str">
        <f>IF(K507&lt;30, "Young Adult","Adult")</f>
        <v>Adult</v>
      </c>
      <c r="K507" s="4">
        <v>34</v>
      </c>
      <c r="L507" s="4" t="s">
        <v>6</v>
      </c>
      <c r="M507" s="4">
        <v>3</v>
      </c>
      <c r="N507" s="5">
        <v>500</v>
      </c>
      <c r="O507">
        <f>(M507*N507)</f>
        <v>1500</v>
      </c>
      <c r="P507">
        <f>O507*$S$3</f>
        <v>22.5</v>
      </c>
      <c r="Q507">
        <f>O507*$S$4</f>
        <v>30</v>
      </c>
    </row>
    <row r="508" spans="1:17">
      <c r="A508" s="2">
        <v>507</v>
      </c>
      <c r="B508" s="4">
        <f>DAY(G508)</f>
        <v>2</v>
      </c>
      <c r="C508">
        <f>MONTH(G508)</f>
        <v>11</v>
      </c>
      <c r="D508">
        <f>YEAR(G508)</f>
        <v>2023</v>
      </c>
      <c r="E508" t="str">
        <f>TEXT(G508,"DDDD")</f>
        <v>Thursday</v>
      </c>
      <c r="F508" t="str">
        <f>TEXT(G508,"MMMM")</f>
        <v>November</v>
      </c>
      <c r="G508" s="3">
        <v>45232</v>
      </c>
      <c r="H508" s="4" t="s">
        <v>540</v>
      </c>
      <c r="I508" s="4" t="s">
        <v>3</v>
      </c>
      <c r="J508" s="4" t="str">
        <f>IF(K508&lt;30, "Young Adult","Adult")</f>
        <v>Adult</v>
      </c>
      <c r="K508" s="4">
        <v>37</v>
      </c>
      <c r="L508" s="4" t="s">
        <v>8</v>
      </c>
      <c r="M508" s="4">
        <v>3</v>
      </c>
      <c r="N508" s="5">
        <v>500</v>
      </c>
      <c r="O508">
        <f>(M508*N508)</f>
        <v>1500</v>
      </c>
      <c r="P508">
        <f>O508*$S$3</f>
        <v>22.5</v>
      </c>
      <c r="Q508">
        <f>O508*$S$4</f>
        <v>30</v>
      </c>
    </row>
    <row r="509" spans="1:17">
      <c r="A509" s="2">
        <v>508</v>
      </c>
      <c r="B509" s="4">
        <f>DAY(G509)</f>
        <v>11</v>
      </c>
      <c r="C509">
        <f>MONTH(G509)</f>
        <v>8</v>
      </c>
      <c r="D509">
        <f>YEAR(G509)</f>
        <v>2023</v>
      </c>
      <c r="E509" t="str">
        <f>TEXT(G509,"DDDD")</f>
        <v>Friday</v>
      </c>
      <c r="F509" t="str">
        <f>TEXT(G509,"MMMM")</f>
        <v>August</v>
      </c>
      <c r="G509" s="3">
        <v>45149</v>
      </c>
      <c r="H509" s="4" t="s">
        <v>541</v>
      </c>
      <c r="I509" s="4" t="s">
        <v>4</v>
      </c>
      <c r="J509" s="4" t="str">
        <f>IF(K509&lt;30, "Young Adult","Adult")</f>
        <v>Adult</v>
      </c>
      <c r="K509" s="4">
        <v>58</v>
      </c>
      <c r="L509" s="4" t="s">
        <v>6</v>
      </c>
      <c r="M509" s="4">
        <v>2</v>
      </c>
      <c r="N509" s="5">
        <v>300</v>
      </c>
      <c r="O509">
        <f>(M509*N509)</f>
        <v>600</v>
      </c>
      <c r="P509">
        <f>O509*$S$3</f>
        <v>9</v>
      </c>
      <c r="Q509">
        <f>O509*$S$4</f>
        <v>12</v>
      </c>
    </row>
    <row r="510" spans="1:17">
      <c r="A510" s="2">
        <v>509</v>
      </c>
      <c r="B510" s="4">
        <f>DAY(G510)</f>
        <v>26</v>
      </c>
      <c r="C510">
        <f>MONTH(G510)</f>
        <v>6</v>
      </c>
      <c r="D510">
        <f>YEAR(G510)</f>
        <v>2023</v>
      </c>
      <c r="E510" t="str">
        <f>TEXT(G510,"DDDD")</f>
        <v>Monday</v>
      </c>
      <c r="F510" t="str">
        <f>TEXT(G510,"MMMM")</f>
        <v>June</v>
      </c>
      <c r="G510" s="3">
        <v>45103</v>
      </c>
      <c r="H510" s="4" t="s">
        <v>542</v>
      </c>
      <c r="I510" s="4" t="s">
        <v>3</v>
      </c>
      <c r="J510" s="4" t="str">
        <f>IF(K510&lt;30, "Young Adult","Adult")</f>
        <v>Adult</v>
      </c>
      <c r="K510" s="4">
        <v>37</v>
      </c>
      <c r="L510" s="4" t="s">
        <v>8</v>
      </c>
      <c r="M510" s="4">
        <v>3</v>
      </c>
      <c r="N510" s="5">
        <v>300</v>
      </c>
      <c r="O510">
        <f>(M510*N510)</f>
        <v>900</v>
      </c>
      <c r="P510">
        <f>O510*$S$3</f>
        <v>13.5</v>
      </c>
      <c r="Q510">
        <f>O510*$S$4</f>
        <v>18</v>
      </c>
    </row>
    <row r="511" spans="1:17">
      <c r="A511" s="2">
        <v>510</v>
      </c>
      <c r="B511" s="4">
        <f>DAY(G511)</f>
        <v>10</v>
      </c>
      <c r="C511">
        <f>MONTH(G511)</f>
        <v>6</v>
      </c>
      <c r="D511">
        <f>YEAR(G511)</f>
        <v>2023</v>
      </c>
      <c r="E511" t="str">
        <f>TEXT(G511,"DDDD")</f>
        <v>Saturday</v>
      </c>
      <c r="F511" t="str">
        <f>TEXT(G511,"MMMM")</f>
        <v>June</v>
      </c>
      <c r="G511" s="3">
        <v>45087</v>
      </c>
      <c r="H511" s="4" t="s">
        <v>543</v>
      </c>
      <c r="I511" s="4" t="s">
        <v>3</v>
      </c>
      <c r="J511" s="4" t="str">
        <f>IF(K511&lt;30, "Young Adult","Adult")</f>
        <v>Adult</v>
      </c>
      <c r="K511" s="4">
        <v>39</v>
      </c>
      <c r="L511" s="4" t="s">
        <v>6</v>
      </c>
      <c r="M511" s="4">
        <v>4</v>
      </c>
      <c r="N511" s="5">
        <v>50</v>
      </c>
      <c r="O511">
        <f>(M511*N511)</f>
        <v>200</v>
      </c>
      <c r="P511">
        <f>O511*$S$3</f>
        <v>3</v>
      </c>
      <c r="Q511">
        <f>O511*$S$4</f>
        <v>4</v>
      </c>
    </row>
    <row r="512" spans="1:17">
      <c r="A512" s="2">
        <v>511</v>
      </c>
      <c r="B512" s="4">
        <f>DAY(G512)</f>
        <v>12</v>
      </c>
      <c r="C512">
        <f>MONTH(G512)</f>
        <v>8</v>
      </c>
      <c r="D512">
        <f>YEAR(G512)</f>
        <v>2023</v>
      </c>
      <c r="E512" t="str">
        <f>TEXT(G512,"DDDD")</f>
        <v>Saturday</v>
      </c>
      <c r="F512" t="str">
        <f>TEXT(G512,"MMMM")</f>
        <v>August</v>
      </c>
      <c r="G512" s="3">
        <v>45150</v>
      </c>
      <c r="H512" s="4" t="s">
        <v>544</v>
      </c>
      <c r="I512" s="4" t="s">
        <v>4</v>
      </c>
      <c r="J512" s="4" t="str">
        <f>IF(K512&lt;30, "Young Adult","Adult")</f>
        <v>Adult</v>
      </c>
      <c r="K512" s="4">
        <v>45</v>
      </c>
      <c r="L512" s="4" t="s">
        <v>6</v>
      </c>
      <c r="M512" s="4">
        <v>2</v>
      </c>
      <c r="N512" s="5">
        <v>50</v>
      </c>
      <c r="O512">
        <f>(M512*N512)</f>
        <v>100</v>
      </c>
      <c r="P512">
        <f>O512*$S$3</f>
        <v>1.5</v>
      </c>
      <c r="Q512">
        <f>O512*$S$4</f>
        <v>2</v>
      </c>
    </row>
    <row r="513" spans="1:17">
      <c r="A513" s="2">
        <v>512</v>
      </c>
      <c r="B513" s="4">
        <f>DAY(G513)</f>
        <v>7</v>
      </c>
      <c r="C513">
        <f>MONTH(G513)</f>
        <v>11</v>
      </c>
      <c r="D513">
        <f>YEAR(G513)</f>
        <v>2023</v>
      </c>
      <c r="E513" t="str">
        <f>TEXT(G513,"DDDD")</f>
        <v>Tuesday</v>
      </c>
      <c r="F513" t="str">
        <f>TEXT(G513,"MMMM")</f>
        <v>November</v>
      </c>
      <c r="G513" s="3">
        <v>45237</v>
      </c>
      <c r="H513" s="4" t="s">
        <v>545</v>
      </c>
      <c r="I513" s="4" t="s">
        <v>3</v>
      </c>
      <c r="J513" s="4" t="str">
        <f>IF(K513&lt;30, "Young Adult","Adult")</f>
        <v>Adult</v>
      </c>
      <c r="K513" s="4">
        <v>57</v>
      </c>
      <c r="L513" s="4" t="s">
        <v>6</v>
      </c>
      <c r="M513" s="4">
        <v>1</v>
      </c>
      <c r="N513" s="5">
        <v>25</v>
      </c>
      <c r="O513">
        <f>(M513*N513)</f>
        <v>25</v>
      </c>
      <c r="P513">
        <f>O513*$S$3</f>
        <v>0.375</v>
      </c>
      <c r="Q513">
        <f>O513*$S$4</f>
        <v>0.5</v>
      </c>
    </row>
    <row r="514" spans="1:17">
      <c r="A514" s="2">
        <v>513</v>
      </c>
      <c r="B514" s="4">
        <f>DAY(G514)</f>
        <v>19</v>
      </c>
      <c r="C514">
        <f>MONTH(G514)</f>
        <v>9</v>
      </c>
      <c r="D514">
        <f>YEAR(G514)</f>
        <v>2023</v>
      </c>
      <c r="E514" t="str">
        <f>TEXT(G514,"DDDD")</f>
        <v>Tuesday</v>
      </c>
      <c r="F514" t="str">
        <f>TEXT(G514,"MMMM")</f>
        <v>September</v>
      </c>
      <c r="G514" s="3">
        <v>45188</v>
      </c>
      <c r="H514" s="4" t="s">
        <v>546</v>
      </c>
      <c r="I514" s="4" t="s">
        <v>4</v>
      </c>
      <c r="J514" s="4" t="str">
        <f>IF(K514&lt;30, "Young Adult","Adult")</f>
        <v>Young Adult</v>
      </c>
      <c r="K514" s="4">
        <v>24</v>
      </c>
      <c r="L514" s="4" t="s">
        <v>8</v>
      </c>
      <c r="M514" s="4">
        <v>4</v>
      </c>
      <c r="N514" s="5">
        <v>25</v>
      </c>
      <c r="O514">
        <f>(M514*N514)</f>
        <v>100</v>
      </c>
      <c r="P514">
        <f>O514*$S$3</f>
        <v>1.5</v>
      </c>
      <c r="Q514">
        <f>O514*$S$4</f>
        <v>2</v>
      </c>
    </row>
    <row r="515" spans="1:17">
      <c r="A515" s="2">
        <v>514</v>
      </c>
      <c r="B515" s="4">
        <f>DAY(G515)</f>
        <v>1</v>
      </c>
      <c r="C515">
        <f>MONTH(G515)</f>
        <v>3</v>
      </c>
      <c r="D515">
        <f>YEAR(G515)</f>
        <v>2023</v>
      </c>
      <c r="E515" t="str">
        <f>TEXT(G515,"DDDD")</f>
        <v>Wednesday</v>
      </c>
      <c r="F515" t="str">
        <f>TEXT(G515,"MMMM")</f>
        <v>March</v>
      </c>
      <c r="G515" s="3">
        <v>44986</v>
      </c>
      <c r="H515" s="4" t="s">
        <v>547</v>
      </c>
      <c r="I515" s="4" t="s">
        <v>3</v>
      </c>
      <c r="J515" s="4" t="str">
        <f>IF(K515&lt;30, "Young Adult","Adult")</f>
        <v>Young Adult</v>
      </c>
      <c r="K515" s="4">
        <v>18</v>
      </c>
      <c r="L515" s="4" t="s">
        <v>8</v>
      </c>
      <c r="M515" s="4">
        <v>1</v>
      </c>
      <c r="N515" s="5">
        <v>300</v>
      </c>
      <c r="O515">
        <f>(M515*N515)</f>
        <v>300</v>
      </c>
      <c r="P515">
        <f>O515*$S$3</f>
        <v>4.5</v>
      </c>
      <c r="Q515">
        <f>O515*$S$4</f>
        <v>6</v>
      </c>
    </row>
    <row r="516" spans="1:17">
      <c r="A516" s="2">
        <v>515</v>
      </c>
      <c r="B516" s="4">
        <f>DAY(G516)</f>
        <v>17</v>
      </c>
      <c r="C516">
        <f>MONTH(G516)</f>
        <v>7</v>
      </c>
      <c r="D516">
        <f>YEAR(G516)</f>
        <v>2023</v>
      </c>
      <c r="E516" t="str">
        <f>TEXT(G516,"DDDD")</f>
        <v>Monday</v>
      </c>
      <c r="F516" t="str">
        <f>TEXT(G516,"MMMM")</f>
        <v>July</v>
      </c>
      <c r="G516" s="3">
        <v>45124</v>
      </c>
      <c r="H516" s="4" t="s">
        <v>548</v>
      </c>
      <c r="I516" s="4" t="s">
        <v>3</v>
      </c>
      <c r="J516" s="4" t="str">
        <f>IF(K516&lt;30, "Young Adult","Adult")</f>
        <v>Adult</v>
      </c>
      <c r="K516" s="4">
        <v>49</v>
      </c>
      <c r="L516" s="4" t="s">
        <v>7</v>
      </c>
      <c r="M516" s="4">
        <v>3</v>
      </c>
      <c r="N516" s="5">
        <v>300</v>
      </c>
      <c r="O516">
        <f>(M516*N516)</f>
        <v>900</v>
      </c>
      <c r="P516">
        <f>O516*$S$3</f>
        <v>13.5</v>
      </c>
      <c r="Q516">
        <f>O516*$S$4</f>
        <v>18</v>
      </c>
    </row>
    <row r="517" spans="1:17">
      <c r="A517" s="2">
        <v>516</v>
      </c>
      <c r="B517" s="4">
        <f>DAY(G517)</f>
        <v>23</v>
      </c>
      <c r="C517">
        <f>MONTH(G517)</f>
        <v>10</v>
      </c>
      <c r="D517">
        <f>YEAR(G517)</f>
        <v>2023</v>
      </c>
      <c r="E517" t="str">
        <f>TEXT(G517,"DDDD")</f>
        <v>Monday</v>
      </c>
      <c r="F517" t="str">
        <f>TEXT(G517,"MMMM")</f>
        <v>October</v>
      </c>
      <c r="G517" s="3">
        <v>45222</v>
      </c>
      <c r="H517" s="4" t="s">
        <v>549</v>
      </c>
      <c r="I517" s="4" t="s">
        <v>4</v>
      </c>
      <c r="J517" s="4" t="str">
        <f>IF(K517&lt;30, "Young Adult","Adult")</f>
        <v>Adult</v>
      </c>
      <c r="K517" s="4">
        <v>30</v>
      </c>
      <c r="L517" s="4" t="s">
        <v>6</v>
      </c>
      <c r="M517" s="4">
        <v>4</v>
      </c>
      <c r="N517" s="5">
        <v>25</v>
      </c>
      <c r="O517">
        <f>(M517*N517)</f>
        <v>100</v>
      </c>
      <c r="P517">
        <f>O517*$S$3</f>
        <v>1.5</v>
      </c>
      <c r="Q517">
        <f>O517*$S$4</f>
        <v>2</v>
      </c>
    </row>
    <row r="518" spans="1:17">
      <c r="A518" s="2">
        <v>517</v>
      </c>
      <c r="B518" s="4">
        <f>DAY(G518)</f>
        <v>8</v>
      </c>
      <c r="C518">
        <f>MONTH(G518)</f>
        <v>4</v>
      </c>
      <c r="D518">
        <f>YEAR(G518)</f>
        <v>2023</v>
      </c>
      <c r="E518" t="str">
        <f>TEXT(G518,"DDDD")</f>
        <v>Saturday</v>
      </c>
      <c r="F518" t="str">
        <f>TEXT(G518,"MMMM")</f>
        <v>April</v>
      </c>
      <c r="G518" s="3">
        <v>45024</v>
      </c>
      <c r="H518" s="4" t="s">
        <v>550</v>
      </c>
      <c r="I518" s="4" t="s">
        <v>3</v>
      </c>
      <c r="J518" s="4" t="str">
        <f>IF(K518&lt;30, "Young Adult","Adult")</f>
        <v>Adult</v>
      </c>
      <c r="K518" s="4">
        <v>47</v>
      </c>
      <c r="L518" s="4" t="s">
        <v>7</v>
      </c>
      <c r="M518" s="4">
        <v>4</v>
      </c>
      <c r="N518" s="5">
        <v>25</v>
      </c>
      <c r="O518">
        <f>(M518*N518)</f>
        <v>100</v>
      </c>
      <c r="P518">
        <f>O518*$S$3</f>
        <v>1.5</v>
      </c>
      <c r="Q518">
        <f>O518*$S$4</f>
        <v>2</v>
      </c>
    </row>
    <row r="519" spans="1:17">
      <c r="A519" s="2">
        <v>518</v>
      </c>
      <c r="B519" s="4">
        <f>DAY(G519)</f>
        <v>11</v>
      </c>
      <c r="C519">
        <f>MONTH(G519)</f>
        <v>5</v>
      </c>
      <c r="D519">
        <f>YEAR(G519)</f>
        <v>2023</v>
      </c>
      <c r="E519" t="str">
        <f>TEXT(G519,"DDDD")</f>
        <v>Thursday</v>
      </c>
      <c r="F519" t="str">
        <f>TEXT(G519,"MMMM")</f>
        <v>May</v>
      </c>
      <c r="G519" s="3">
        <v>45057</v>
      </c>
      <c r="H519" s="4" t="s">
        <v>551</v>
      </c>
      <c r="I519" s="4" t="s">
        <v>3</v>
      </c>
      <c r="J519" s="4" t="str">
        <f>IF(K519&lt;30, "Young Adult","Adult")</f>
        <v>Adult</v>
      </c>
      <c r="K519" s="4">
        <v>40</v>
      </c>
      <c r="L519" s="4" t="s">
        <v>7</v>
      </c>
      <c r="M519" s="4">
        <v>1</v>
      </c>
      <c r="N519" s="5">
        <v>30</v>
      </c>
      <c r="O519">
        <f>(M519*N519)</f>
        <v>30</v>
      </c>
      <c r="P519">
        <f>O519*$S$3</f>
        <v>0.44999999999999996</v>
      </c>
      <c r="Q519">
        <f>O519*$S$4</f>
        <v>0.6</v>
      </c>
    </row>
    <row r="520" spans="1:17">
      <c r="A520" s="2">
        <v>519</v>
      </c>
      <c r="B520" s="4">
        <f>DAY(G520)</f>
        <v>23</v>
      </c>
      <c r="C520">
        <f>MONTH(G520)</f>
        <v>1</v>
      </c>
      <c r="D520">
        <f>YEAR(G520)</f>
        <v>2023</v>
      </c>
      <c r="E520" t="str">
        <f>TEXT(G520,"DDDD")</f>
        <v>Monday</v>
      </c>
      <c r="F520" t="str">
        <f>TEXT(G520,"MMMM")</f>
        <v>January</v>
      </c>
      <c r="G520" s="3">
        <v>44949</v>
      </c>
      <c r="H520" s="4" t="s">
        <v>552</v>
      </c>
      <c r="I520" s="4" t="s">
        <v>3</v>
      </c>
      <c r="J520" s="4" t="str">
        <f>IF(K520&lt;30, "Young Adult","Adult")</f>
        <v>Adult</v>
      </c>
      <c r="K520" s="4">
        <v>36</v>
      </c>
      <c r="L520" s="4" t="s">
        <v>8</v>
      </c>
      <c r="M520" s="4">
        <v>4</v>
      </c>
      <c r="N520" s="5">
        <v>30</v>
      </c>
      <c r="O520">
        <f>(M520*N520)</f>
        <v>120</v>
      </c>
      <c r="P520">
        <f>O520*$S$3</f>
        <v>1.7999999999999998</v>
      </c>
      <c r="Q520">
        <f>O520*$S$4</f>
        <v>2.4</v>
      </c>
    </row>
    <row r="521" spans="1:17">
      <c r="A521" s="2">
        <v>520</v>
      </c>
      <c r="B521" s="4">
        <f>DAY(G521)</f>
        <v>29</v>
      </c>
      <c r="C521">
        <f>MONTH(G521)</f>
        <v>12</v>
      </c>
      <c r="D521">
        <f>YEAR(G521)</f>
        <v>2023</v>
      </c>
      <c r="E521" t="str">
        <f>TEXT(G521,"DDDD")</f>
        <v>Friday</v>
      </c>
      <c r="F521" t="str">
        <f>TEXT(G521,"MMMM")</f>
        <v>December</v>
      </c>
      <c r="G521" s="3">
        <v>45289</v>
      </c>
      <c r="H521" s="4" t="s">
        <v>553</v>
      </c>
      <c r="I521" s="4" t="s">
        <v>3</v>
      </c>
      <c r="J521" s="4" t="str">
        <f>IF(K521&lt;30, "Young Adult","Adult")</f>
        <v>Adult</v>
      </c>
      <c r="K521" s="4">
        <v>49</v>
      </c>
      <c r="L521" s="4" t="s">
        <v>8</v>
      </c>
      <c r="M521" s="4">
        <v>4</v>
      </c>
      <c r="N521" s="5">
        <v>25</v>
      </c>
      <c r="O521">
        <f>(M521*N521)</f>
        <v>100</v>
      </c>
      <c r="P521">
        <f>O521*$S$3</f>
        <v>1.5</v>
      </c>
      <c r="Q521">
        <f>O521*$S$4</f>
        <v>2</v>
      </c>
    </row>
    <row r="522" spans="1:17">
      <c r="A522" s="2">
        <v>521</v>
      </c>
      <c r="B522" s="4">
        <f>DAY(G522)</f>
        <v>12</v>
      </c>
      <c r="C522">
        <f>MONTH(G522)</f>
        <v>8</v>
      </c>
      <c r="D522">
        <f>YEAR(G522)</f>
        <v>2023</v>
      </c>
      <c r="E522" t="str">
        <f>TEXT(G522,"DDDD")</f>
        <v>Saturday</v>
      </c>
      <c r="F522" t="str">
        <f>TEXT(G522,"MMMM")</f>
        <v>August</v>
      </c>
      <c r="G522" s="3">
        <v>45150</v>
      </c>
      <c r="H522" s="4" t="s">
        <v>554</v>
      </c>
      <c r="I522" s="4" t="s">
        <v>3</v>
      </c>
      <c r="J522" s="4" t="str">
        <f>IF(K522&lt;30, "Young Adult","Adult")</f>
        <v>Adult</v>
      </c>
      <c r="K522" s="4">
        <v>47</v>
      </c>
      <c r="L522" s="4" t="s">
        <v>7</v>
      </c>
      <c r="M522" s="4">
        <v>4</v>
      </c>
      <c r="N522" s="5">
        <v>30</v>
      </c>
      <c r="O522">
        <f>(M522*N522)</f>
        <v>120</v>
      </c>
      <c r="P522">
        <f>O522*$S$3</f>
        <v>1.7999999999999998</v>
      </c>
      <c r="Q522">
        <f>O522*$S$4</f>
        <v>2.4</v>
      </c>
    </row>
    <row r="523" spans="1:17">
      <c r="A523" s="2">
        <v>522</v>
      </c>
      <c r="B523" s="4">
        <f>DAY(G523)</f>
        <v>1</v>
      </c>
      <c r="C523">
        <f>MONTH(G523)</f>
        <v>1</v>
      </c>
      <c r="D523">
        <f>YEAR(G523)</f>
        <v>2023</v>
      </c>
      <c r="E523" t="str">
        <f>TEXT(G523,"DDDD")</f>
        <v>Sunday</v>
      </c>
      <c r="F523" t="str">
        <f>TEXT(G523,"MMMM")</f>
        <v>January</v>
      </c>
      <c r="G523" s="3">
        <v>44927</v>
      </c>
      <c r="H523" s="4" t="s">
        <v>555</v>
      </c>
      <c r="I523" s="4" t="s">
        <v>4</v>
      </c>
      <c r="J523" s="4" t="str">
        <f>IF(K523&lt;30, "Young Adult","Adult")</f>
        <v>Adult</v>
      </c>
      <c r="K523" s="4">
        <v>46</v>
      </c>
      <c r="L523" s="4" t="s">
        <v>6</v>
      </c>
      <c r="M523" s="4">
        <v>3</v>
      </c>
      <c r="N523" s="5">
        <v>500</v>
      </c>
      <c r="O523">
        <f>(M523*N523)</f>
        <v>1500</v>
      </c>
      <c r="P523">
        <f>O523*$S$3</f>
        <v>22.5</v>
      </c>
      <c r="Q523">
        <f>O523*$S$4</f>
        <v>30</v>
      </c>
    </row>
    <row r="524" spans="1:17">
      <c r="A524" s="2">
        <v>523</v>
      </c>
      <c r="B524" s="4">
        <f>DAY(G524)</f>
        <v>24</v>
      </c>
      <c r="C524">
        <f>MONTH(G524)</f>
        <v>9</v>
      </c>
      <c r="D524">
        <f>YEAR(G524)</f>
        <v>2023</v>
      </c>
      <c r="E524" t="str">
        <f>TEXT(G524,"DDDD")</f>
        <v>Sunday</v>
      </c>
      <c r="F524" t="str">
        <f>TEXT(G524,"MMMM")</f>
        <v>September</v>
      </c>
      <c r="G524" s="3">
        <v>45193</v>
      </c>
      <c r="H524" s="4" t="s">
        <v>556</v>
      </c>
      <c r="I524" s="4" t="s">
        <v>3</v>
      </c>
      <c r="J524" s="4" t="str">
        <f>IF(K524&lt;30, "Young Adult","Adult")</f>
        <v>Adult</v>
      </c>
      <c r="K524" s="4">
        <v>62</v>
      </c>
      <c r="L524" s="4" t="s">
        <v>8</v>
      </c>
      <c r="M524" s="4">
        <v>1</v>
      </c>
      <c r="N524" s="5">
        <v>300</v>
      </c>
      <c r="O524">
        <f>(M524*N524)</f>
        <v>300</v>
      </c>
      <c r="P524">
        <f>O524*$S$3</f>
        <v>4.5</v>
      </c>
      <c r="Q524">
        <f>O524*$S$4</f>
        <v>6</v>
      </c>
    </row>
    <row r="525" spans="1:17">
      <c r="A525" s="2">
        <v>524</v>
      </c>
      <c r="B525" s="4">
        <f>DAY(G525)</f>
        <v>3</v>
      </c>
      <c r="C525">
        <f>MONTH(G525)</f>
        <v>10</v>
      </c>
      <c r="D525">
        <f>YEAR(G525)</f>
        <v>2023</v>
      </c>
      <c r="E525" t="str">
        <f>TEXT(G525,"DDDD")</f>
        <v>Tuesday</v>
      </c>
      <c r="F525" t="str">
        <f>TEXT(G525,"MMMM")</f>
        <v>October</v>
      </c>
      <c r="G525" s="3">
        <v>45202</v>
      </c>
      <c r="H525" s="4" t="s">
        <v>557</v>
      </c>
      <c r="I525" s="4" t="s">
        <v>4</v>
      </c>
      <c r="J525" s="4" t="str">
        <f>IF(K525&lt;30, "Young Adult","Adult")</f>
        <v>Adult</v>
      </c>
      <c r="K525" s="4">
        <v>46</v>
      </c>
      <c r="L525" s="4" t="s">
        <v>6</v>
      </c>
      <c r="M525" s="4">
        <v>4</v>
      </c>
      <c r="N525" s="5">
        <v>300</v>
      </c>
      <c r="O525">
        <f>(M525*N525)</f>
        <v>1200</v>
      </c>
      <c r="P525">
        <f>O525*$S$3</f>
        <v>18</v>
      </c>
      <c r="Q525">
        <f>O525*$S$4</f>
        <v>24</v>
      </c>
    </row>
    <row r="526" spans="1:17">
      <c r="A526" s="2">
        <v>525</v>
      </c>
      <c r="B526" s="4">
        <f>DAY(G526)</f>
        <v>18</v>
      </c>
      <c r="C526">
        <f>MONTH(G526)</f>
        <v>12</v>
      </c>
      <c r="D526">
        <f>YEAR(G526)</f>
        <v>2023</v>
      </c>
      <c r="E526" t="str">
        <f>TEXT(G526,"DDDD")</f>
        <v>Monday</v>
      </c>
      <c r="F526" t="str">
        <f>TEXT(G526,"MMMM")</f>
        <v>December</v>
      </c>
      <c r="G526" s="3">
        <v>45278</v>
      </c>
      <c r="H526" s="4" t="s">
        <v>558</v>
      </c>
      <c r="I526" s="4" t="s">
        <v>3</v>
      </c>
      <c r="J526" s="4" t="str">
        <f>IF(K526&lt;30, "Young Adult","Adult")</f>
        <v>Adult</v>
      </c>
      <c r="K526" s="4">
        <v>47</v>
      </c>
      <c r="L526" s="4" t="s">
        <v>6</v>
      </c>
      <c r="M526" s="4">
        <v>2</v>
      </c>
      <c r="N526" s="5">
        <v>25</v>
      </c>
      <c r="O526">
        <f>(M526*N526)</f>
        <v>50</v>
      </c>
      <c r="P526">
        <f>O526*$S$3</f>
        <v>0.75</v>
      </c>
      <c r="Q526">
        <f>O526*$S$4</f>
        <v>1</v>
      </c>
    </row>
    <row r="527" spans="1:17">
      <c r="A527" s="2">
        <v>526</v>
      </c>
      <c r="B527" s="4">
        <f>DAY(G527)</f>
        <v>10</v>
      </c>
      <c r="C527">
        <f>MONTH(G527)</f>
        <v>12</v>
      </c>
      <c r="D527">
        <f>YEAR(G527)</f>
        <v>2023</v>
      </c>
      <c r="E527" t="str">
        <f>TEXT(G527,"DDDD")</f>
        <v>Sunday</v>
      </c>
      <c r="F527" t="str">
        <f>TEXT(G527,"MMMM")</f>
        <v>December</v>
      </c>
      <c r="G527" s="3">
        <v>45270</v>
      </c>
      <c r="H527" s="4" t="s">
        <v>559</v>
      </c>
      <c r="I527" s="4" t="s">
        <v>4</v>
      </c>
      <c r="J527" s="4" t="str">
        <f>IF(K527&lt;30, "Young Adult","Adult")</f>
        <v>Adult</v>
      </c>
      <c r="K527" s="4">
        <v>33</v>
      </c>
      <c r="L527" s="4" t="s">
        <v>7</v>
      </c>
      <c r="M527" s="4">
        <v>2</v>
      </c>
      <c r="N527" s="5">
        <v>50</v>
      </c>
      <c r="O527">
        <f>(M527*N527)</f>
        <v>100</v>
      </c>
      <c r="P527">
        <f>O527*$S$3</f>
        <v>1.5</v>
      </c>
      <c r="Q527">
        <f>O527*$S$4</f>
        <v>2</v>
      </c>
    </row>
    <row r="528" spans="1:17">
      <c r="A528" s="2">
        <v>527</v>
      </c>
      <c r="B528" s="4">
        <f>DAY(G528)</f>
        <v>11</v>
      </c>
      <c r="C528">
        <f>MONTH(G528)</f>
        <v>4</v>
      </c>
      <c r="D528">
        <f>YEAR(G528)</f>
        <v>2023</v>
      </c>
      <c r="E528" t="str">
        <f>TEXT(G528,"DDDD")</f>
        <v>Tuesday</v>
      </c>
      <c r="F528" t="str">
        <f>TEXT(G528,"MMMM")</f>
        <v>April</v>
      </c>
      <c r="G528" s="3">
        <v>45027</v>
      </c>
      <c r="H528" s="4" t="s">
        <v>560</v>
      </c>
      <c r="I528" s="4" t="s">
        <v>4</v>
      </c>
      <c r="J528" s="4" t="str">
        <f>IF(K528&lt;30, "Young Adult","Adult")</f>
        <v>Adult</v>
      </c>
      <c r="K528" s="4">
        <v>57</v>
      </c>
      <c r="L528" s="4" t="s">
        <v>7</v>
      </c>
      <c r="M528" s="4">
        <v>2</v>
      </c>
      <c r="N528" s="5">
        <v>25</v>
      </c>
      <c r="O528">
        <f>(M528*N528)</f>
        <v>50</v>
      </c>
      <c r="P528">
        <f>O528*$S$3</f>
        <v>0.75</v>
      </c>
      <c r="Q528">
        <f>O528*$S$4</f>
        <v>1</v>
      </c>
    </row>
    <row r="529" spans="1:17">
      <c r="A529" s="2">
        <v>528</v>
      </c>
      <c r="B529" s="4">
        <f>DAY(G529)</f>
        <v>6</v>
      </c>
      <c r="C529">
        <f>MONTH(G529)</f>
        <v>7</v>
      </c>
      <c r="D529">
        <f>YEAR(G529)</f>
        <v>2023</v>
      </c>
      <c r="E529" t="str">
        <f>TEXT(G529,"DDDD")</f>
        <v>Thursday</v>
      </c>
      <c r="F529" t="str">
        <f>TEXT(G529,"MMMM")</f>
        <v>July</v>
      </c>
      <c r="G529" s="3">
        <v>45113</v>
      </c>
      <c r="H529" s="4" t="s">
        <v>561</v>
      </c>
      <c r="I529" s="4" t="s">
        <v>3</v>
      </c>
      <c r="J529" s="4" t="str">
        <f>IF(K529&lt;30, "Young Adult","Adult")</f>
        <v>Adult</v>
      </c>
      <c r="K529" s="4">
        <v>36</v>
      </c>
      <c r="L529" s="4" t="s">
        <v>7</v>
      </c>
      <c r="M529" s="4">
        <v>2</v>
      </c>
      <c r="N529" s="5">
        <v>30</v>
      </c>
      <c r="O529">
        <f>(M529*N529)</f>
        <v>60</v>
      </c>
      <c r="P529">
        <f>O529*$S$3</f>
        <v>0.89999999999999991</v>
      </c>
      <c r="Q529">
        <f>O529*$S$4</f>
        <v>1.2</v>
      </c>
    </row>
    <row r="530" spans="1:17">
      <c r="A530" s="2">
        <v>529</v>
      </c>
      <c r="B530" s="4">
        <f>DAY(G530)</f>
        <v>9</v>
      </c>
      <c r="C530">
        <f>MONTH(G530)</f>
        <v>8</v>
      </c>
      <c r="D530">
        <f>YEAR(G530)</f>
        <v>2023</v>
      </c>
      <c r="E530" t="str">
        <f>TEXT(G530,"DDDD")</f>
        <v>Wednesday</v>
      </c>
      <c r="F530" t="str">
        <f>TEXT(G530,"MMMM")</f>
        <v>August</v>
      </c>
      <c r="G530" s="3">
        <v>45147</v>
      </c>
      <c r="H530" s="4" t="s">
        <v>562</v>
      </c>
      <c r="I530" s="4" t="s">
        <v>3</v>
      </c>
      <c r="J530" s="4" t="str">
        <f>IF(K530&lt;30, "Young Adult","Adult")</f>
        <v>Adult</v>
      </c>
      <c r="K530" s="4">
        <v>35</v>
      </c>
      <c r="L530" s="4" t="s">
        <v>7</v>
      </c>
      <c r="M530" s="4">
        <v>3</v>
      </c>
      <c r="N530" s="5">
        <v>50</v>
      </c>
      <c r="O530">
        <f>(M530*N530)</f>
        <v>150</v>
      </c>
      <c r="P530">
        <f>O530*$S$3</f>
        <v>2.25</v>
      </c>
      <c r="Q530">
        <f>O530*$S$4</f>
        <v>3</v>
      </c>
    </row>
    <row r="531" spans="1:17">
      <c r="A531" s="2">
        <v>530</v>
      </c>
      <c r="B531" s="4">
        <f>DAY(G531)</f>
        <v>5</v>
      </c>
      <c r="C531">
        <f>MONTH(G531)</f>
        <v>2</v>
      </c>
      <c r="D531">
        <f>YEAR(G531)</f>
        <v>2023</v>
      </c>
      <c r="E531" t="str">
        <f>TEXT(G531,"DDDD")</f>
        <v>Sunday</v>
      </c>
      <c r="F531" t="str">
        <f>TEXT(G531,"MMMM")</f>
        <v>February</v>
      </c>
      <c r="G531" s="3">
        <v>44962</v>
      </c>
      <c r="H531" s="4" t="s">
        <v>563</v>
      </c>
      <c r="I531" s="4" t="s">
        <v>3</v>
      </c>
      <c r="J531" s="4" t="str">
        <f>IF(K531&lt;30, "Young Adult","Adult")</f>
        <v>Young Adult</v>
      </c>
      <c r="K531" s="4">
        <v>18</v>
      </c>
      <c r="L531" s="4" t="s">
        <v>8</v>
      </c>
      <c r="M531" s="4">
        <v>4</v>
      </c>
      <c r="N531" s="5">
        <v>30</v>
      </c>
      <c r="O531">
        <f>(M531*N531)</f>
        <v>120</v>
      </c>
      <c r="P531">
        <f>O531*$S$3</f>
        <v>1.7999999999999998</v>
      </c>
      <c r="Q531">
        <f>O531*$S$4</f>
        <v>2.4</v>
      </c>
    </row>
    <row r="532" spans="1:17">
      <c r="A532" s="2">
        <v>531</v>
      </c>
      <c r="B532" s="4">
        <f>DAY(G532)</f>
        <v>7</v>
      </c>
      <c r="C532">
        <f>MONTH(G532)</f>
        <v>12</v>
      </c>
      <c r="D532">
        <f>YEAR(G532)</f>
        <v>2023</v>
      </c>
      <c r="E532" t="str">
        <f>TEXT(G532,"DDDD")</f>
        <v>Thursday</v>
      </c>
      <c r="F532" t="str">
        <f>TEXT(G532,"MMMM")</f>
        <v>December</v>
      </c>
      <c r="G532" s="3">
        <v>45267</v>
      </c>
      <c r="H532" s="4" t="s">
        <v>564</v>
      </c>
      <c r="I532" s="4" t="s">
        <v>4</v>
      </c>
      <c r="J532" s="4" t="str">
        <f>IF(K532&lt;30, "Young Adult","Adult")</f>
        <v>Adult</v>
      </c>
      <c r="K532" s="4">
        <v>31</v>
      </c>
      <c r="L532" s="4" t="s">
        <v>8</v>
      </c>
      <c r="M532" s="4">
        <v>1</v>
      </c>
      <c r="N532" s="5">
        <v>500</v>
      </c>
      <c r="O532">
        <f>(M532*N532)</f>
        <v>500</v>
      </c>
      <c r="P532">
        <f>O532*$S$3</f>
        <v>7.5</v>
      </c>
      <c r="Q532">
        <f>O532*$S$4</f>
        <v>10</v>
      </c>
    </row>
    <row r="533" spans="1:17">
      <c r="A533" s="2">
        <v>532</v>
      </c>
      <c r="B533" s="4">
        <f>DAY(G533)</f>
        <v>19</v>
      </c>
      <c r="C533">
        <f>MONTH(G533)</f>
        <v>6</v>
      </c>
      <c r="D533">
        <f>YEAR(G533)</f>
        <v>2023</v>
      </c>
      <c r="E533" t="str">
        <f>TEXT(G533,"DDDD")</f>
        <v>Monday</v>
      </c>
      <c r="F533" t="str">
        <f>TEXT(G533,"MMMM")</f>
        <v>June</v>
      </c>
      <c r="G533" s="3">
        <v>45096</v>
      </c>
      <c r="H533" s="4" t="s">
        <v>565</v>
      </c>
      <c r="I533" s="4" t="s">
        <v>3</v>
      </c>
      <c r="J533" s="4" t="str">
        <f>IF(K533&lt;30, "Young Adult","Adult")</f>
        <v>Adult</v>
      </c>
      <c r="K533" s="4">
        <v>64</v>
      </c>
      <c r="L533" s="4" t="s">
        <v>7</v>
      </c>
      <c r="M533" s="4">
        <v>4</v>
      </c>
      <c r="N533" s="5">
        <v>30</v>
      </c>
      <c r="O533">
        <f>(M533*N533)</f>
        <v>120</v>
      </c>
      <c r="P533">
        <f>O533*$S$3</f>
        <v>1.7999999999999998</v>
      </c>
      <c r="Q533">
        <f>O533*$S$4</f>
        <v>2.4</v>
      </c>
    </row>
    <row r="534" spans="1:17">
      <c r="A534" s="2">
        <v>533</v>
      </c>
      <c r="B534" s="4">
        <f>DAY(G534)</f>
        <v>16</v>
      </c>
      <c r="C534">
        <f>MONTH(G534)</f>
        <v>11</v>
      </c>
      <c r="D534">
        <f>YEAR(G534)</f>
        <v>2023</v>
      </c>
      <c r="E534" t="str">
        <f>TEXT(G534,"DDDD")</f>
        <v>Thursday</v>
      </c>
      <c r="F534" t="str">
        <f>TEXT(G534,"MMMM")</f>
        <v>November</v>
      </c>
      <c r="G534" s="3">
        <v>45246</v>
      </c>
      <c r="H534" s="4" t="s">
        <v>566</v>
      </c>
      <c r="I534" s="4" t="s">
        <v>4</v>
      </c>
      <c r="J534" s="4" t="str">
        <f>IF(K534&lt;30, "Young Adult","Adult")</f>
        <v>Young Adult</v>
      </c>
      <c r="K534" s="4">
        <v>19</v>
      </c>
      <c r="L534" s="4" t="s">
        <v>8</v>
      </c>
      <c r="M534" s="4">
        <v>3</v>
      </c>
      <c r="N534" s="5">
        <v>500</v>
      </c>
      <c r="O534">
        <f>(M534*N534)</f>
        <v>1500</v>
      </c>
      <c r="P534">
        <f>O534*$S$3</f>
        <v>22.5</v>
      </c>
      <c r="Q534">
        <f>O534*$S$4</f>
        <v>30</v>
      </c>
    </row>
    <row r="535" spans="1:17">
      <c r="A535" s="2">
        <v>534</v>
      </c>
      <c r="B535" s="4">
        <f>DAY(G535)</f>
        <v>10</v>
      </c>
      <c r="C535">
        <f>MONTH(G535)</f>
        <v>6</v>
      </c>
      <c r="D535">
        <f>YEAR(G535)</f>
        <v>2023</v>
      </c>
      <c r="E535" t="str">
        <f>TEXT(G535,"DDDD")</f>
        <v>Saturday</v>
      </c>
      <c r="F535" t="str">
        <f>TEXT(G535,"MMMM")</f>
        <v>June</v>
      </c>
      <c r="G535" s="3">
        <v>45087</v>
      </c>
      <c r="H535" s="4" t="s">
        <v>567</v>
      </c>
      <c r="I535" s="4" t="s">
        <v>4</v>
      </c>
      <c r="J535" s="4" t="str">
        <f>IF(K535&lt;30, "Young Adult","Adult")</f>
        <v>Adult</v>
      </c>
      <c r="K535" s="4">
        <v>45</v>
      </c>
      <c r="L535" s="4" t="s">
        <v>7</v>
      </c>
      <c r="M535" s="4">
        <v>2</v>
      </c>
      <c r="N535" s="5">
        <v>500</v>
      </c>
      <c r="O535">
        <f>(M535*N535)</f>
        <v>1000</v>
      </c>
      <c r="P535">
        <f>O535*$S$3</f>
        <v>15</v>
      </c>
      <c r="Q535">
        <f>O535*$S$4</f>
        <v>20</v>
      </c>
    </row>
    <row r="536" spans="1:17">
      <c r="A536" s="2">
        <v>535</v>
      </c>
      <c r="B536" s="4">
        <f>DAY(G536)</f>
        <v>6</v>
      </c>
      <c r="C536">
        <f>MONTH(G536)</f>
        <v>12</v>
      </c>
      <c r="D536">
        <f>YEAR(G536)</f>
        <v>2023</v>
      </c>
      <c r="E536" t="str">
        <f>TEXT(G536,"DDDD")</f>
        <v>Wednesday</v>
      </c>
      <c r="F536" t="str">
        <f>TEXT(G536,"MMMM")</f>
        <v>December</v>
      </c>
      <c r="G536" s="3">
        <v>45266</v>
      </c>
      <c r="H536" s="4" t="s">
        <v>568</v>
      </c>
      <c r="I536" s="4" t="s">
        <v>4</v>
      </c>
      <c r="J536" s="4" t="str">
        <f>IF(K536&lt;30, "Young Adult","Adult")</f>
        <v>Adult</v>
      </c>
      <c r="K536" s="4">
        <v>47</v>
      </c>
      <c r="L536" s="4" t="s">
        <v>6</v>
      </c>
      <c r="M536" s="4">
        <v>3</v>
      </c>
      <c r="N536" s="5">
        <v>30</v>
      </c>
      <c r="O536">
        <f>(M536*N536)</f>
        <v>90</v>
      </c>
      <c r="P536">
        <f>O536*$S$3</f>
        <v>1.3499999999999999</v>
      </c>
      <c r="Q536">
        <f>O536*$S$4</f>
        <v>1.8</v>
      </c>
    </row>
    <row r="537" spans="1:17">
      <c r="A537" s="2">
        <v>536</v>
      </c>
      <c r="B537" s="4">
        <f>DAY(G537)</f>
        <v>5</v>
      </c>
      <c r="C537">
        <f>MONTH(G537)</f>
        <v>3</v>
      </c>
      <c r="D537">
        <f>YEAR(G537)</f>
        <v>2023</v>
      </c>
      <c r="E537" t="str">
        <f>TEXT(G537,"DDDD")</f>
        <v>Sunday</v>
      </c>
      <c r="F537" t="str">
        <f>TEXT(G537,"MMMM")</f>
        <v>March</v>
      </c>
      <c r="G537" s="3">
        <v>44990</v>
      </c>
      <c r="H537" s="4" t="s">
        <v>569</v>
      </c>
      <c r="I537" s="4" t="s">
        <v>3</v>
      </c>
      <c r="J537" s="4" t="str">
        <f>IF(K537&lt;30, "Young Adult","Adult")</f>
        <v>Adult</v>
      </c>
      <c r="K537" s="4">
        <v>55</v>
      </c>
      <c r="L537" s="4" t="s">
        <v>6</v>
      </c>
      <c r="M537" s="4">
        <v>4</v>
      </c>
      <c r="N537" s="5">
        <v>30</v>
      </c>
      <c r="O537">
        <f>(M537*N537)</f>
        <v>120</v>
      </c>
      <c r="P537">
        <f>O537*$S$3</f>
        <v>1.7999999999999998</v>
      </c>
      <c r="Q537">
        <f>O537*$S$4</f>
        <v>2.4</v>
      </c>
    </row>
    <row r="538" spans="1:17">
      <c r="A538" s="2">
        <v>537</v>
      </c>
      <c r="B538" s="4">
        <f>DAY(G538)</f>
        <v>3</v>
      </c>
      <c r="C538">
        <f>MONTH(G538)</f>
        <v>6</v>
      </c>
      <c r="D538">
        <f>YEAR(G538)</f>
        <v>2023</v>
      </c>
      <c r="E538" t="str">
        <f>TEXT(G538,"DDDD")</f>
        <v>Saturday</v>
      </c>
      <c r="F538" t="str">
        <f>TEXT(G538,"MMMM")</f>
        <v>June</v>
      </c>
      <c r="G538" s="3">
        <v>45080</v>
      </c>
      <c r="H538" s="4" t="s">
        <v>570</v>
      </c>
      <c r="I538" s="4" t="s">
        <v>3</v>
      </c>
      <c r="J538" s="4" t="str">
        <f>IF(K538&lt;30, "Young Adult","Adult")</f>
        <v>Young Adult</v>
      </c>
      <c r="K538" s="4">
        <v>21</v>
      </c>
      <c r="L538" s="4" t="s">
        <v>6</v>
      </c>
      <c r="M538" s="4">
        <v>1</v>
      </c>
      <c r="N538" s="5">
        <v>500</v>
      </c>
      <c r="O538">
        <f>(M538*N538)</f>
        <v>500</v>
      </c>
      <c r="P538">
        <f>O538*$S$3</f>
        <v>7.5</v>
      </c>
      <c r="Q538">
        <f>O538*$S$4</f>
        <v>10</v>
      </c>
    </row>
    <row r="539" spans="1:17">
      <c r="A539" s="2">
        <v>538</v>
      </c>
      <c r="B539" s="4">
        <f>DAY(G539)</f>
        <v>17</v>
      </c>
      <c r="C539">
        <f>MONTH(G539)</f>
        <v>9</v>
      </c>
      <c r="D539">
        <f>YEAR(G539)</f>
        <v>2023</v>
      </c>
      <c r="E539" t="str">
        <f>TEXT(G539,"DDDD")</f>
        <v>Sunday</v>
      </c>
      <c r="F539" t="str">
        <f>TEXT(G539,"MMMM")</f>
        <v>September</v>
      </c>
      <c r="G539" s="3">
        <v>45186</v>
      </c>
      <c r="H539" s="4" t="s">
        <v>571</v>
      </c>
      <c r="I539" s="4" t="s">
        <v>4</v>
      </c>
      <c r="J539" s="4" t="str">
        <f>IF(K539&lt;30, "Young Adult","Adult")</f>
        <v>Young Adult</v>
      </c>
      <c r="K539" s="4">
        <v>18</v>
      </c>
      <c r="L539" s="4" t="s">
        <v>7</v>
      </c>
      <c r="M539" s="4">
        <v>3</v>
      </c>
      <c r="N539" s="5">
        <v>50</v>
      </c>
      <c r="O539">
        <f>(M539*N539)</f>
        <v>150</v>
      </c>
      <c r="P539">
        <f>O539*$S$3</f>
        <v>2.25</v>
      </c>
      <c r="Q539">
        <f>O539*$S$4</f>
        <v>3</v>
      </c>
    </row>
    <row r="540" spans="1:17">
      <c r="A540" s="2">
        <v>539</v>
      </c>
      <c r="B540" s="4">
        <f>DAY(G540)</f>
        <v>8</v>
      </c>
      <c r="C540">
        <f>MONTH(G540)</f>
        <v>6</v>
      </c>
      <c r="D540">
        <f>YEAR(G540)</f>
        <v>2023</v>
      </c>
      <c r="E540" t="str">
        <f>TEXT(G540,"DDDD")</f>
        <v>Thursday</v>
      </c>
      <c r="F540" t="str">
        <f>TEXT(G540,"MMMM")</f>
        <v>June</v>
      </c>
      <c r="G540" s="3">
        <v>45085</v>
      </c>
      <c r="H540" s="4" t="s">
        <v>572</v>
      </c>
      <c r="I540" s="4" t="s">
        <v>4</v>
      </c>
      <c r="J540" s="4" t="str">
        <f>IF(K540&lt;30, "Young Adult","Adult")</f>
        <v>Young Adult</v>
      </c>
      <c r="K540" s="4">
        <v>25</v>
      </c>
      <c r="L540" s="4" t="s">
        <v>6</v>
      </c>
      <c r="M540" s="4">
        <v>1</v>
      </c>
      <c r="N540" s="5">
        <v>500</v>
      </c>
      <c r="O540">
        <f>(M540*N540)</f>
        <v>500</v>
      </c>
      <c r="P540">
        <f>O540*$S$3</f>
        <v>7.5</v>
      </c>
      <c r="Q540">
        <f>O540*$S$4</f>
        <v>10</v>
      </c>
    </row>
    <row r="541" spans="1:17">
      <c r="A541" s="2">
        <v>540</v>
      </c>
      <c r="B541" s="4">
        <f>DAY(G541)</f>
        <v>8</v>
      </c>
      <c r="C541">
        <f>MONTH(G541)</f>
        <v>12</v>
      </c>
      <c r="D541">
        <f>YEAR(G541)</f>
        <v>2023</v>
      </c>
      <c r="E541" t="str">
        <f>TEXT(G541,"DDDD")</f>
        <v>Friday</v>
      </c>
      <c r="F541" t="str">
        <f>TEXT(G541,"MMMM")</f>
        <v>December</v>
      </c>
      <c r="G541" s="3">
        <v>45268</v>
      </c>
      <c r="H541" s="4" t="s">
        <v>573</v>
      </c>
      <c r="I541" s="4" t="s">
        <v>3</v>
      </c>
      <c r="J541" s="4" t="str">
        <f>IF(K541&lt;30, "Young Adult","Adult")</f>
        <v>Adult</v>
      </c>
      <c r="K541" s="4">
        <v>46</v>
      </c>
      <c r="L541" s="4" t="s">
        <v>8</v>
      </c>
      <c r="M541" s="4">
        <v>3</v>
      </c>
      <c r="N541" s="5">
        <v>300</v>
      </c>
      <c r="O541">
        <f>(M541*N541)</f>
        <v>900</v>
      </c>
      <c r="P541">
        <f>O541*$S$3</f>
        <v>13.5</v>
      </c>
      <c r="Q541">
        <f>O541*$S$4</f>
        <v>18</v>
      </c>
    </row>
    <row r="542" spans="1:17">
      <c r="A542" s="2">
        <v>541</v>
      </c>
      <c r="B542" s="4">
        <f>DAY(G542)</f>
        <v>29</v>
      </c>
      <c r="C542">
        <f>MONTH(G542)</f>
        <v>7</v>
      </c>
      <c r="D542">
        <f>YEAR(G542)</f>
        <v>2023</v>
      </c>
      <c r="E542" t="str">
        <f>TEXT(G542,"DDDD")</f>
        <v>Saturday</v>
      </c>
      <c r="F542" t="str">
        <f>TEXT(G542,"MMMM")</f>
        <v>July</v>
      </c>
      <c r="G542" s="3">
        <v>45136</v>
      </c>
      <c r="H542" s="4" t="s">
        <v>574</v>
      </c>
      <c r="I542" s="4" t="s">
        <v>4</v>
      </c>
      <c r="J542" s="4" t="str">
        <f>IF(K542&lt;30, "Young Adult","Adult")</f>
        <v>Adult</v>
      </c>
      <c r="K542" s="4">
        <v>56</v>
      </c>
      <c r="L542" s="4" t="s">
        <v>6</v>
      </c>
      <c r="M542" s="4">
        <v>1</v>
      </c>
      <c r="N542" s="5">
        <v>500</v>
      </c>
      <c r="O542">
        <f>(M542*N542)</f>
        <v>500</v>
      </c>
      <c r="P542">
        <f>O542*$S$3</f>
        <v>7.5</v>
      </c>
      <c r="Q542">
        <f>O542*$S$4</f>
        <v>10</v>
      </c>
    </row>
    <row r="543" spans="1:17">
      <c r="A543" s="2">
        <v>542</v>
      </c>
      <c r="B543" s="4">
        <f>DAY(G543)</f>
        <v>17</v>
      </c>
      <c r="C543">
        <f>MONTH(G543)</f>
        <v>6</v>
      </c>
      <c r="D543">
        <f>YEAR(G543)</f>
        <v>2023</v>
      </c>
      <c r="E543" t="str">
        <f>TEXT(G543,"DDDD")</f>
        <v>Saturday</v>
      </c>
      <c r="F543" t="str">
        <f>TEXT(G543,"MMMM")</f>
        <v>June</v>
      </c>
      <c r="G543" s="3">
        <v>45094</v>
      </c>
      <c r="H543" s="4" t="s">
        <v>575</v>
      </c>
      <c r="I543" s="4" t="s">
        <v>3</v>
      </c>
      <c r="J543" s="4" t="str">
        <f>IF(K543&lt;30, "Young Adult","Adult")</f>
        <v>Young Adult</v>
      </c>
      <c r="K543" s="4">
        <v>20</v>
      </c>
      <c r="L543" s="4" t="s">
        <v>6</v>
      </c>
      <c r="M543" s="4">
        <v>1</v>
      </c>
      <c r="N543" s="5">
        <v>50</v>
      </c>
      <c r="O543">
        <f>(M543*N543)</f>
        <v>50</v>
      </c>
      <c r="P543">
        <f>O543*$S$3</f>
        <v>0.75</v>
      </c>
      <c r="Q543">
        <f>O543*$S$4</f>
        <v>1</v>
      </c>
    </row>
    <row r="544" spans="1:17">
      <c r="A544" s="2">
        <v>543</v>
      </c>
      <c r="B544" s="4">
        <f>DAY(G544)</f>
        <v>26</v>
      </c>
      <c r="C544">
        <f>MONTH(G544)</f>
        <v>7</v>
      </c>
      <c r="D544">
        <f>YEAR(G544)</f>
        <v>2023</v>
      </c>
      <c r="E544" t="str">
        <f>TEXT(G544,"DDDD")</f>
        <v>Wednesday</v>
      </c>
      <c r="F544" t="str">
        <f>TEXT(G544,"MMMM")</f>
        <v>July</v>
      </c>
      <c r="G544" s="3">
        <v>45133</v>
      </c>
      <c r="H544" s="4" t="s">
        <v>576</v>
      </c>
      <c r="I544" s="4" t="s">
        <v>4</v>
      </c>
      <c r="J544" s="4" t="str">
        <f>IF(K544&lt;30, "Young Adult","Adult")</f>
        <v>Adult</v>
      </c>
      <c r="K544" s="4">
        <v>49</v>
      </c>
      <c r="L544" s="4" t="s">
        <v>6</v>
      </c>
      <c r="M544" s="4">
        <v>2</v>
      </c>
      <c r="N544" s="5">
        <v>300</v>
      </c>
      <c r="O544">
        <f>(M544*N544)</f>
        <v>600</v>
      </c>
      <c r="P544">
        <f>O544*$S$3</f>
        <v>9</v>
      </c>
      <c r="Q544">
        <f>O544*$S$4</f>
        <v>12</v>
      </c>
    </row>
    <row r="545" spans="1:17">
      <c r="A545" s="2">
        <v>544</v>
      </c>
      <c r="B545" s="4">
        <f>DAY(G545)</f>
        <v>23</v>
      </c>
      <c r="C545">
        <f>MONTH(G545)</f>
        <v>12</v>
      </c>
      <c r="D545">
        <f>YEAR(G545)</f>
        <v>2023</v>
      </c>
      <c r="E545" t="str">
        <f>TEXT(G545,"DDDD")</f>
        <v>Saturday</v>
      </c>
      <c r="F545" t="str">
        <f>TEXT(G545,"MMMM")</f>
        <v>December</v>
      </c>
      <c r="G545" s="3">
        <v>45283</v>
      </c>
      <c r="H545" s="4" t="s">
        <v>577</v>
      </c>
      <c r="I545" s="4" t="s">
        <v>3</v>
      </c>
      <c r="J545" s="4" t="str">
        <f>IF(K545&lt;30, "Young Adult","Adult")</f>
        <v>Young Adult</v>
      </c>
      <c r="K545" s="4">
        <v>27</v>
      </c>
      <c r="L545" s="4" t="s">
        <v>8</v>
      </c>
      <c r="M545" s="4">
        <v>1</v>
      </c>
      <c r="N545" s="5">
        <v>25</v>
      </c>
      <c r="O545">
        <f>(M545*N545)</f>
        <v>25</v>
      </c>
      <c r="P545">
        <f>O545*$S$3</f>
        <v>0.375</v>
      </c>
      <c r="Q545">
        <f>O545*$S$4</f>
        <v>0.5</v>
      </c>
    </row>
    <row r="546" spans="1:17">
      <c r="A546" s="2">
        <v>545</v>
      </c>
      <c r="B546" s="4">
        <f>DAY(G546)</f>
        <v>1</v>
      </c>
      <c r="C546">
        <f>MONTH(G546)</f>
        <v>6</v>
      </c>
      <c r="D546">
        <f>YEAR(G546)</f>
        <v>2023</v>
      </c>
      <c r="E546" t="str">
        <f>TEXT(G546,"DDDD")</f>
        <v>Thursday</v>
      </c>
      <c r="F546" t="str">
        <f>TEXT(G546,"MMMM")</f>
        <v>June</v>
      </c>
      <c r="G546" s="3">
        <v>45078</v>
      </c>
      <c r="H546" s="4" t="s">
        <v>578</v>
      </c>
      <c r="I546" s="4" t="s">
        <v>4</v>
      </c>
      <c r="J546" s="4" t="str">
        <f>IF(K546&lt;30, "Young Adult","Adult")</f>
        <v>Young Adult</v>
      </c>
      <c r="K546" s="4">
        <v>27</v>
      </c>
      <c r="L546" s="4" t="s">
        <v>7</v>
      </c>
      <c r="M546" s="4">
        <v>2</v>
      </c>
      <c r="N546" s="5">
        <v>25</v>
      </c>
      <c r="O546">
        <f>(M546*N546)</f>
        <v>50</v>
      </c>
      <c r="P546">
        <f>O546*$S$3</f>
        <v>0.75</v>
      </c>
      <c r="Q546">
        <f>O546*$S$4</f>
        <v>1</v>
      </c>
    </row>
    <row r="547" spans="1:17">
      <c r="A547" s="2">
        <v>546</v>
      </c>
      <c r="B547" s="4">
        <f>DAY(G547)</f>
        <v>11</v>
      </c>
      <c r="C547">
        <f>MONTH(G547)</f>
        <v>10</v>
      </c>
      <c r="D547">
        <f>YEAR(G547)</f>
        <v>2023</v>
      </c>
      <c r="E547" t="str">
        <f>TEXT(G547,"DDDD")</f>
        <v>Wednesday</v>
      </c>
      <c r="F547" t="str">
        <f>TEXT(G547,"MMMM")</f>
        <v>October</v>
      </c>
      <c r="G547" s="3">
        <v>45210</v>
      </c>
      <c r="H547" s="4" t="s">
        <v>579</v>
      </c>
      <c r="I547" s="4" t="s">
        <v>3</v>
      </c>
      <c r="J547" s="4" t="str">
        <f>IF(K547&lt;30, "Young Adult","Adult")</f>
        <v>Adult</v>
      </c>
      <c r="K547" s="4">
        <v>36</v>
      </c>
      <c r="L547" s="4" t="s">
        <v>8</v>
      </c>
      <c r="M547" s="4">
        <v>4</v>
      </c>
      <c r="N547" s="5">
        <v>50</v>
      </c>
      <c r="O547">
        <f>(M547*N547)</f>
        <v>200</v>
      </c>
      <c r="P547">
        <f>O547*$S$3</f>
        <v>3</v>
      </c>
      <c r="Q547">
        <f>O547*$S$4</f>
        <v>4</v>
      </c>
    </row>
    <row r="548" spans="1:17">
      <c r="A548" s="2">
        <v>547</v>
      </c>
      <c r="B548" s="4">
        <f>DAY(G548)</f>
        <v>7</v>
      </c>
      <c r="C548">
        <f>MONTH(G548)</f>
        <v>3</v>
      </c>
      <c r="D548">
        <f>YEAR(G548)</f>
        <v>2023</v>
      </c>
      <c r="E548" t="str">
        <f>TEXT(G548,"DDDD")</f>
        <v>Tuesday</v>
      </c>
      <c r="F548" t="str">
        <f>TEXT(G548,"MMMM")</f>
        <v>March</v>
      </c>
      <c r="G548" s="3">
        <v>44992</v>
      </c>
      <c r="H548" s="4" t="s">
        <v>580</v>
      </c>
      <c r="I548" s="4" t="s">
        <v>4</v>
      </c>
      <c r="J548" s="4" t="str">
        <f>IF(K548&lt;30, "Young Adult","Adult")</f>
        <v>Adult</v>
      </c>
      <c r="K548" s="4">
        <v>63</v>
      </c>
      <c r="L548" s="4" t="s">
        <v>7</v>
      </c>
      <c r="M548" s="4">
        <v>4</v>
      </c>
      <c r="N548" s="5">
        <v>500</v>
      </c>
      <c r="O548">
        <f>(M548*N548)</f>
        <v>2000</v>
      </c>
      <c r="P548">
        <f>O548*$S$3</f>
        <v>30</v>
      </c>
      <c r="Q548">
        <f>O548*$S$4</f>
        <v>40</v>
      </c>
    </row>
    <row r="549" spans="1:17">
      <c r="A549" s="2">
        <v>548</v>
      </c>
      <c r="B549" s="4">
        <f>DAY(G549)</f>
        <v>9</v>
      </c>
      <c r="C549">
        <f>MONTH(G549)</f>
        <v>4</v>
      </c>
      <c r="D549">
        <f>YEAR(G549)</f>
        <v>2023</v>
      </c>
      <c r="E549" t="str">
        <f>TEXT(G549,"DDDD")</f>
        <v>Sunday</v>
      </c>
      <c r="F549" t="str">
        <f>TEXT(G549,"MMMM")</f>
        <v>April</v>
      </c>
      <c r="G549" s="3">
        <v>45025</v>
      </c>
      <c r="H549" s="4" t="s">
        <v>581</v>
      </c>
      <c r="I549" s="4" t="s">
        <v>3</v>
      </c>
      <c r="J549" s="4" t="str">
        <f>IF(K549&lt;30, "Young Adult","Adult")</f>
        <v>Adult</v>
      </c>
      <c r="K549" s="4">
        <v>51</v>
      </c>
      <c r="L549" s="4" t="s">
        <v>7</v>
      </c>
      <c r="M549" s="4">
        <v>2</v>
      </c>
      <c r="N549" s="5">
        <v>30</v>
      </c>
      <c r="O549">
        <f>(M549*N549)</f>
        <v>60</v>
      </c>
      <c r="P549">
        <f>O549*$S$3</f>
        <v>0.89999999999999991</v>
      </c>
      <c r="Q549">
        <f>O549*$S$4</f>
        <v>1.2</v>
      </c>
    </row>
    <row r="550" spans="1:17">
      <c r="A550" s="2">
        <v>549</v>
      </c>
      <c r="B550" s="4">
        <f>DAY(G550)</f>
        <v>4</v>
      </c>
      <c r="C550">
        <f>MONTH(G550)</f>
        <v>8</v>
      </c>
      <c r="D550">
        <f>YEAR(G550)</f>
        <v>2023</v>
      </c>
      <c r="E550" t="str">
        <f>TEXT(G550,"DDDD")</f>
        <v>Friday</v>
      </c>
      <c r="F550" t="str">
        <f>TEXT(G550,"MMMM")</f>
        <v>August</v>
      </c>
      <c r="G550" s="3">
        <v>45142</v>
      </c>
      <c r="H550" s="4" t="s">
        <v>582</v>
      </c>
      <c r="I550" s="4" t="s">
        <v>3</v>
      </c>
      <c r="J550" s="4" t="str">
        <f>IF(K550&lt;30, "Young Adult","Adult")</f>
        <v>Adult</v>
      </c>
      <c r="K550" s="4">
        <v>50</v>
      </c>
      <c r="L550" s="4" t="s">
        <v>6</v>
      </c>
      <c r="M550" s="4">
        <v>2</v>
      </c>
      <c r="N550" s="5">
        <v>50</v>
      </c>
      <c r="O550">
        <f>(M550*N550)</f>
        <v>100</v>
      </c>
      <c r="P550">
        <f>O550*$S$3</f>
        <v>1.5</v>
      </c>
      <c r="Q550">
        <f>O550*$S$4</f>
        <v>2</v>
      </c>
    </row>
    <row r="551" spans="1:17">
      <c r="A551" s="2">
        <v>550</v>
      </c>
      <c r="B551" s="4">
        <f>DAY(G551)</f>
        <v>7</v>
      </c>
      <c r="C551">
        <f>MONTH(G551)</f>
        <v>12</v>
      </c>
      <c r="D551">
        <f>YEAR(G551)</f>
        <v>2023</v>
      </c>
      <c r="E551" t="str">
        <f>TEXT(G551,"DDDD")</f>
        <v>Thursday</v>
      </c>
      <c r="F551" t="str">
        <f>TEXT(G551,"MMMM")</f>
        <v>December</v>
      </c>
      <c r="G551" s="3">
        <v>45267</v>
      </c>
      <c r="H551" s="4" t="s">
        <v>583</v>
      </c>
      <c r="I551" s="4" t="s">
        <v>4</v>
      </c>
      <c r="J551" s="4" t="str">
        <f>IF(K551&lt;30, "Young Adult","Adult")</f>
        <v>Adult</v>
      </c>
      <c r="K551" s="4">
        <v>40</v>
      </c>
      <c r="L551" s="4" t="s">
        <v>7</v>
      </c>
      <c r="M551" s="4">
        <v>3</v>
      </c>
      <c r="N551" s="5">
        <v>300</v>
      </c>
      <c r="O551">
        <f>(M551*N551)</f>
        <v>900</v>
      </c>
      <c r="P551">
        <f>O551*$S$3</f>
        <v>13.5</v>
      </c>
      <c r="Q551">
        <f>O551*$S$4</f>
        <v>18</v>
      </c>
    </row>
    <row r="552" spans="1:17">
      <c r="A552" s="2">
        <v>551</v>
      </c>
      <c r="B552" s="4">
        <f>DAY(G552)</f>
        <v>14</v>
      </c>
      <c r="C552">
        <f>MONTH(G552)</f>
        <v>7</v>
      </c>
      <c r="D552">
        <f>YEAR(G552)</f>
        <v>2023</v>
      </c>
      <c r="E552" t="str">
        <f>TEXT(G552,"DDDD")</f>
        <v>Friday</v>
      </c>
      <c r="F552" t="str">
        <f>TEXT(G552,"MMMM")</f>
        <v>July</v>
      </c>
      <c r="G552" s="3">
        <v>45121</v>
      </c>
      <c r="H552" s="4" t="s">
        <v>584</v>
      </c>
      <c r="I552" s="4" t="s">
        <v>4</v>
      </c>
      <c r="J552" s="4" t="str">
        <f>IF(K552&lt;30, "Young Adult","Adult")</f>
        <v>Adult</v>
      </c>
      <c r="K552" s="4">
        <v>45</v>
      </c>
      <c r="L552" s="4" t="s">
        <v>8</v>
      </c>
      <c r="M552" s="4">
        <v>3</v>
      </c>
      <c r="N552" s="5">
        <v>300</v>
      </c>
      <c r="O552">
        <f>(M552*N552)</f>
        <v>900</v>
      </c>
      <c r="P552">
        <f>O552*$S$3</f>
        <v>13.5</v>
      </c>
      <c r="Q552">
        <f>O552*$S$4</f>
        <v>18</v>
      </c>
    </row>
    <row r="553" spans="1:17">
      <c r="A553" s="2">
        <v>552</v>
      </c>
      <c r="B553" s="4">
        <f>DAY(G553)</f>
        <v>13</v>
      </c>
      <c r="C553">
        <f>MONTH(G553)</f>
        <v>12</v>
      </c>
      <c r="D553">
        <f>YEAR(G553)</f>
        <v>2023</v>
      </c>
      <c r="E553" t="str">
        <f>TEXT(G553,"DDDD")</f>
        <v>Wednesday</v>
      </c>
      <c r="F553" t="str">
        <f>TEXT(G553,"MMMM")</f>
        <v>December</v>
      </c>
      <c r="G553" s="3">
        <v>45273</v>
      </c>
      <c r="H553" s="4" t="s">
        <v>585</v>
      </c>
      <c r="I553" s="4" t="s">
        <v>3</v>
      </c>
      <c r="J553" s="4" t="str">
        <f>IF(K553&lt;30, "Young Adult","Adult")</f>
        <v>Adult</v>
      </c>
      <c r="K553" s="4">
        <v>49</v>
      </c>
      <c r="L553" s="4" t="s">
        <v>8</v>
      </c>
      <c r="M553" s="4">
        <v>3</v>
      </c>
      <c r="N553" s="5">
        <v>25</v>
      </c>
      <c r="O553">
        <f>(M553*N553)</f>
        <v>75</v>
      </c>
      <c r="P553">
        <f>O553*$S$3</f>
        <v>1.125</v>
      </c>
      <c r="Q553">
        <f>O553*$S$4</f>
        <v>1.5</v>
      </c>
    </row>
    <row r="554" spans="1:17">
      <c r="A554" s="2">
        <v>553</v>
      </c>
      <c r="B554" s="4">
        <f>DAY(G554)</f>
        <v>31</v>
      </c>
      <c r="C554">
        <f>MONTH(G554)</f>
        <v>3</v>
      </c>
      <c r="D554">
        <f>YEAR(G554)</f>
        <v>2023</v>
      </c>
      <c r="E554" t="str">
        <f>TEXT(G554,"DDDD")</f>
        <v>Friday</v>
      </c>
      <c r="F554" t="str">
        <f>TEXT(G554,"MMMM")</f>
        <v>March</v>
      </c>
      <c r="G554" s="3">
        <v>45016</v>
      </c>
      <c r="H554" s="4" t="s">
        <v>586</v>
      </c>
      <c r="I554" s="4" t="s">
        <v>4</v>
      </c>
      <c r="J554" s="4" t="str">
        <f>IF(K554&lt;30, "Young Adult","Adult")</f>
        <v>Young Adult</v>
      </c>
      <c r="K554" s="4">
        <v>24</v>
      </c>
      <c r="L554" s="4" t="s">
        <v>7</v>
      </c>
      <c r="M554" s="4">
        <v>4</v>
      </c>
      <c r="N554" s="5">
        <v>300</v>
      </c>
      <c r="O554">
        <f>(M554*N554)</f>
        <v>1200</v>
      </c>
      <c r="P554">
        <f>O554*$S$3</f>
        <v>18</v>
      </c>
      <c r="Q554">
        <f>O554*$S$4</f>
        <v>24</v>
      </c>
    </row>
    <row r="555" spans="1:17">
      <c r="A555" s="2">
        <v>554</v>
      </c>
      <c r="B555" s="4">
        <f>DAY(G555)</f>
        <v>12</v>
      </c>
      <c r="C555">
        <f>MONTH(G555)</f>
        <v>11</v>
      </c>
      <c r="D555">
        <f>YEAR(G555)</f>
        <v>2023</v>
      </c>
      <c r="E555" t="str">
        <f>TEXT(G555,"DDDD")</f>
        <v>Sunday</v>
      </c>
      <c r="F555" t="str">
        <f>TEXT(G555,"MMMM")</f>
        <v>November</v>
      </c>
      <c r="G555" s="3">
        <v>45242</v>
      </c>
      <c r="H555" s="4" t="s">
        <v>587</v>
      </c>
      <c r="I555" s="4" t="s">
        <v>3</v>
      </c>
      <c r="J555" s="4" t="str">
        <f>IF(K555&lt;30, "Young Adult","Adult")</f>
        <v>Adult</v>
      </c>
      <c r="K555" s="4">
        <v>46</v>
      </c>
      <c r="L555" s="4" t="s">
        <v>6</v>
      </c>
      <c r="M555" s="4">
        <v>3</v>
      </c>
      <c r="N555" s="5">
        <v>50</v>
      </c>
      <c r="O555">
        <f>(M555*N555)</f>
        <v>150</v>
      </c>
      <c r="P555">
        <f>O555*$S$3</f>
        <v>2.25</v>
      </c>
      <c r="Q555">
        <f>O555*$S$4</f>
        <v>3</v>
      </c>
    </row>
    <row r="556" spans="1:17">
      <c r="A556" s="2">
        <v>555</v>
      </c>
      <c r="B556" s="4">
        <f>DAY(G556)</f>
        <v>19</v>
      </c>
      <c r="C556">
        <f>MONTH(G556)</f>
        <v>10</v>
      </c>
      <c r="D556">
        <f>YEAR(G556)</f>
        <v>2023</v>
      </c>
      <c r="E556" t="str">
        <f>TEXT(G556,"DDDD")</f>
        <v>Thursday</v>
      </c>
      <c r="F556" t="str">
        <f>TEXT(G556,"MMMM")</f>
        <v>October</v>
      </c>
      <c r="G556" s="3">
        <v>45218</v>
      </c>
      <c r="H556" s="4" t="s">
        <v>588</v>
      </c>
      <c r="I556" s="4" t="s">
        <v>4</v>
      </c>
      <c r="J556" s="4" t="str">
        <f>IF(K556&lt;30, "Young Adult","Adult")</f>
        <v>Young Adult</v>
      </c>
      <c r="K556" s="4">
        <v>25</v>
      </c>
      <c r="L556" s="4" t="s">
        <v>6</v>
      </c>
      <c r="M556" s="4">
        <v>1</v>
      </c>
      <c r="N556" s="5">
        <v>300</v>
      </c>
      <c r="O556">
        <f>(M556*N556)</f>
        <v>300</v>
      </c>
      <c r="P556">
        <f>O556*$S$3</f>
        <v>4.5</v>
      </c>
      <c r="Q556">
        <f>O556*$S$4</f>
        <v>6</v>
      </c>
    </row>
    <row r="557" spans="1:17">
      <c r="A557" s="2">
        <v>556</v>
      </c>
      <c r="B557" s="4">
        <f>DAY(G557)</f>
        <v>4</v>
      </c>
      <c r="C557">
        <f>MONTH(G557)</f>
        <v>6</v>
      </c>
      <c r="D557">
        <f>YEAR(G557)</f>
        <v>2023</v>
      </c>
      <c r="E557" t="str">
        <f>TEXT(G557,"DDDD")</f>
        <v>Sunday</v>
      </c>
      <c r="F557" t="str">
        <f>TEXT(G557,"MMMM")</f>
        <v>June</v>
      </c>
      <c r="G557" s="3">
        <v>45081</v>
      </c>
      <c r="H557" s="4" t="s">
        <v>589</v>
      </c>
      <c r="I557" s="4" t="s">
        <v>3</v>
      </c>
      <c r="J557" s="4" t="str">
        <f>IF(K557&lt;30, "Young Adult","Adult")</f>
        <v>Young Adult</v>
      </c>
      <c r="K557" s="4">
        <v>18</v>
      </c>
      <c r="L557" s="4" t="s">
        <v>8</v>
      </c>
      <c r="M557" s="4">
        <v>1</v>
      </c>
      <c r="N557" s="5">
        <v>50</v>
      </c>
      <c r="O557">
        <f>(M557*N557)</f>
        <v>50</v>
      </c>
      <c r="P557">
        <f>O557*$S$3</f>
        <v>0.75</v>
      </c>
      <c r="Q557">
        <f>O557*$S$4</f>
        <v>1</v>
      </c>
    </row>
    <row r="558" spans="1:17">
      <c r="A558" s="2">
        <v>557</v>
      </c>
      <c r="B558" s="4">
        <f>DAY(G558)</f>
        <v>27</v>
      </c>
      <c r="C558">
        <f>MONTH(G558)</f>
        <v>7</v>
      </c>
      <c r="D558">
        <f>YEAR(G558)</f>
        <v>2023</v>
      </c>
      <c r="E558" t="str">
        <f>TEXT(G558,"DDDD")</f>
        <v>Thursday</v>
      </c>
      <c r="F558" t="str">
        <f>TEXT(G558,"MMMM")</f>
        <v>July</v>
      </c>
      <c r="G558" s="3">
        <v>45134</v>
      </c>
      <c r="H558" s="4" t="s">
        <v>590</v>
      </c>
      <c r="I558" s="4" t="s">
        <v>3</v>
      </c>
      <c r="J558" s="4" t="str">
        <f>IF(K558&lt;30, "Young Adult","Adult")</f>
        <v>Young Adult</v>
      </c>
      <c r="K558" s="4">
        <v>20</v>
      </c>
      <c r="L558" s="4" t="s">
        <v>6</v>
      </c>
      <c r="M558" s="4">
        <v>3</v>
      </c>
      <c r="N558" s="5">
        <v>30</v>
      </c>
      <c r="O558">
        <f>(M558*N558)</f>
        <v>90</v>
      </c>
      <c r="P558">
        <f>O558*$S$3</f>
        <v>1.3499999999999999</v>
      </c>
      <c r="Q558">
        <f>O558*$S$4</f>
        <v>1.8</v>
      </c>
    </row>
    <row r="559" spans="1:17">
      <c r="A559" s="2">
        <v>558</v>
      </c>
      <c r="B559" s="4">
        <f>DAY(G559)</f>
        <v>8</v>
      </c>
      <c r="C559">
        <f>MONTH(G559)</f>
        <v>10</v>
      </c>
      <c r="D559">
        <f>YEAR(G559)</f>
        <v>2023</v>
      </c>
      <c r="E559" t="str">
        <f>TEXT(G559,"DDDD")</f>
        <v>Sunday</v>
      </c>
      <c r="F559" t="str">
        <f>TEXT(G559,"MMMM")</f>
        <v>October</v>
      </c>
      <c r="G559" s="3">
        <v>45207</v>
      </c>
      <c r="H559" s="4" t="s">
        <v>591</v>
      </c>
      <c r="I559" s="4" t="s">
        <v>3</v>
      </c>
      <c r="J559" s="4" t="str">
        <f>IF(K559&lt;30, "Young Adult","Adult")</f>
        <v>Adult</v>
      </c>
      <c r="K559" s="4">
        <v>41</v>
      </c>
      <c r="L559" s="4" t="s">
        <v>7</v>
      </c>
      <c r="M559" s="4">
        <v>1</v>
      </c>
      <c r="N559" s="5">
        <v>25</v>
      </c>
      <c r="O559">
        <f>(M559*N559)</f>
        <v>25</v>
      </c>
      <c r="P559">
        <f>O559*$S$3</f>
        <v>0.375</v>
      </c>
      <c r="Q559">
        <f>O559*$S$4</f>
        <v>0.5</v>
      </c>
    </row>
    <row r="560" spans="1:17">
      <c r="A560" s="2">
        <v>559</v>
      </c>
      <c r="B560" s="4">
        <f>DAY(G560)</f>
        <v>1</v>
      </c>
      <c r="C560">
        <f>MONTH(G560)</f>
        <v>1</v>
      </c>
      <c r="D560">
        <f>YEAR(G560)</f>
        <v>2023</v>
      </c>
      <c r="E560" t="str">
        <f>TEXT(G560,"DDDD")</f>
        <v>Sunday</v>
      </c>
      <c r="F560" t="str">
        <f>TEXT(G560,"MMMM")</f>
        <v>January</v>
      </c>
      <c r="G560" s="3">
        <v>44927</v>
      </c>
      <c r="H560" s="4" t="s">
        <v>592</v>
      </c>
      <c r="I560" s="4" t="s">
        <v>3</v>
      </c>
      <c r="J560" s="4" t="str">
        <f>IF(K560&lt;30, "Young Adult","Adult")</f>
        <v>Adult</v>
      </c>
      <c r="K560" s="4">
        <v>40</v>
      </c>
      <c r="L560" s="4" t="s">
        <v>7</v>
      </c>
      <c r="M560" s="4">
        <v>4</v>
      </c>
      <c r="N560" s="5">
        <v>300</v>
      </c>
      <c r="O560">
        <f>(M560*N560)</f>
        <v>1200</v>
      </c>
      <c r="P560">
        <f>O560*$S$3</f>
        <v>18</v>
      </c>
      <c r="Q560">
        <f>O560*$S$4</f>
        <v>24</v>
      </c>
    </row>
    <row r="561" spans="1:17">
      <c r="A561" s="2">
        <v>560</v>
      </c>
      <c r="B561" s="4">
        <f>DAY(G561)</f>
        <v>5</v>
      </c>
      <c r="C561">
        <f>MONTH(G561)</f>
        <v>6</v>
      </c>
      <c r="D561">
        <f>YEAR(G561)</f>
        <v>2023</v>
      </c>
      <c r="E561" t="str">
        <f>TEXT(G561,"DDDD")</f>
        <v>Monday</v>
      </c>
      <c r="F561" t="str">
        <f>TEXT(G561,"MMMM")</f>
        <v>June</v>
      </c>
      <c r="G561" s="3">
        <v>45082</v>
      </c>
      <c r="H561" s="4" t="s">
        <v>593</v>
      </c>
      <c r="I561" s="4" t="s">
        <v>3</v>
      </c>
      <c r="J561" s="4" t="str">
        <f>IF(K561&lt;30, "Young Adult","Adult")</f>
        <v>Young Adult</v>
      </c>
      <c r="K561" s="4">
        <v>25</v>
      </c>
      <c r="L561" s="4" t="s">
        <v>8</v>
      </c>
      <c r="M561" s="4">
        <v>1</v>
      </c>
      <c r="N561" s="5">
        <v>50</v>
      </c>
      <c r="O561">
        <f>(M561*N561)</f>
        <v>50</v>
      </c>
      <c r="P561">
        <f>O561*$S$3</f>
        <v>0.75</v>
      </c>
      <c r="Q561">
        <f>O561*$S$4</f>
        <v>1</v>
      </c>
    </row>
    <row r="562" spans="1:17">
      <c r="A562" s="2">
        <v>561</v>
      </c>
      <c r="B562" s="4">
        <f>DAY(G562)</f>
        <v>27</v>
      </c>
      <c r="C562">
        <f>MONTH(G562)</f>
        <v>5</v>
      </c>
      <c r="D562">
        <f>YEAR(G562)</f>
        <v>2023</v>
      </c>
      <c r="E562" t="str">
        <f>TEXT(G562,"DDDD")</f>
        <v>Saturday</v>
      </c>
      <c r="F562" t="str">
        <f>TEXT(G562,"MMMM")</f>
        <v>May</v>
      </c>
      <c r="G562" s="3">
        <v>45073</v>
      </c>
      <c r="H562" s="4" t="s">
        <v>594</v>
      </c>
      <c r="I562" s="4" t="s">
        <v>3</v>
      </c>
      <c r="J562" s="4" t="str">
        <f>IF(K562&lt;30, "Young Adult","Adult")</f>
        <v>Adult</v>
      </c>
      <c r="K562" s="4">
        <v>64</v>
      </c>
      <c r="L562" s="4" t="s">
        <v>7</v>
      </c>
      <c r="M562" s="4">
        <v>4</v>
      </c>
      <c r="N562" s="5">
        <v>500</v>
      </c>
      <c r="O562">
        <f>(M562*N562)</f>
        <v>2000</v>
      </c>
      <c r="P562">
        <f>O562*$S$3</f>
        <v>30</v>
      </c>
      <c r="Q562">
        <f>O562*$S$4</f>
        <v>40</v>
      </c>
    </row>
    <row r="563" spans="1:17">
      <c r="A563" s="2">
        <v>562</v>
      </c>
      <c r="B563" s="4">
        <f>DAY(G563)</f>
        <v>18</v>
      </c>
      <c r="C563">
        <f>MONTH(G563)</f>
        <v>4</v>
      </c>
      <c r="D563">
        <f>YEAR(G563)</f>
        <v>2023</v>
      </c>
      <c r="E563" t="str">
        <f>TEXT(G563,"DDDD")</f>
        <v>Tuesday</v>
      </c>
      <c r="F563" t="str">
        <f>TEXT(G563,"MMMM")</f>
        <v>April</v>
      </c>
      <c r="G563" s="3">
        <v>45034</v>
      </c>
      <c r="H563" s="4" t="s">
        <v>595</v>
      </c>
      <c r="I563" s="4" t="s">
        <v>4</v>
      </c>
      <c r="J563" s="4" t="str">
        <f>IF(K563&lt;30, "Young Adult","Adult")</f>
        <v>Adult</v>
      </c>
      <c r="K563" s="4">
        <v>54</v>
      </c>
      <c r="L563" s="4" t="s">
        <v>8</v>
      </c>
      <c r="M563" s="4">
        <v>2</v>
      </c>
      <c r="N563" s="5">
        <v>25</v>
      </c>
      <c r="O563">
        <f>(M563*N563)</f>
        <v>50</v>
      </c>
      <c r="P563">
        <f>O563*$S$3</f>
        <v>0.75</v>
      </c>
      <c r="Q563">
        <f>O563*$S$4</f>
        <v>1</v>
      </c>
    </row>
    <row r="564" spans="1:17">
      <c r="A564" s="2">
        <v>563</v>
      </c>
      <c r="B564" s="4">
        <f>DAY(G564)</f>
        <v>9</v>
      </c>
      <c r="C564">
        <f>MONTH(G564)</f>
        <v>8</v>
      </c>
      <c r="D564">
        <f>YEAR(G564)</f>
        <v>2023</v>
      </c>
      <c r="E564" t="str">
        <f>TEXT(G564,"DDDD")</f>
        <v>Wednesday</v>
      </c>
      <c r="F564" t="str">
        <f>TEXT(G564,"MMMM")</f>
        <v>August</v>
      </c>
      <c r="G564" s="3">
        <v>45147</v>
      </c>
      <c r="H564" s="4" t="s">
        <v>596</v>
      </c>
      <c r="I564" s="4" t="s">
        <v>4</v>
      </c>
      <c r="J564" s="4" t="str">
        <f>IF(K564&lt;30, "Young Adult","Adult")</f>
        <v>Young Adult</v>
      </c>
      <c r="K564" s="4">
        <v>20</v>
      </c>
      <c r="L564" s="4" t="s">
        <v>7</v>
      </c>
      <c r="M564" s="4">
        <v>2</v>
      </c>
      <c r="N564" s="5">
        <v>30</v>
      </c>
      <c r="O564">
        <f>(M564*N564)</f>
        <v>60</v>
      </c>
      <c r="P564">
        <f>O564*$S$3</f>
        <v>0.89999999999999991</v>
      </c>
      <c r="Q564">
        <f>O564*$S$4</f>
        <v>1.2</v>
      </c>
    </row>
    <row r="565" spans="1:17">
      <c r="A565" s="2">
        <v>564</v>
      </c>
      <c r="B565" s="4">
        <f>DAY(G565)</f>
        <v>24</v>
      </c>
      <c r="C565">
        <f>MONTH(G565)</f>
        <v>10</v>
      </c>
      <c r="D565">
        <f>YEAR(G565)</f>
        <v>2023</v>
      </c>
      <c r="E565" t="str">
        <f>TEXT(G565,"DDDD")</f>
        <v>Tuesday</v>
      </c>
      <c r="F565" t="str">
        <f>TEXT(G565,"MMMM")</f>
        <v>October</v>
      </c>
      <c r="G565" s="3">
        <v>45223</v>
      </c>
      <c r="H565" s="4" t="s">
        <v>597</v>
      </c>
      <c r="I565" s="4" t="s">
        <v>4</v>
      </c>
      <c r="J565" s="4" t="str">
        <f>IF(K565&lt;30, "Young Adult","Adult")</f>
        <v>Adult</v>
      </c>
      <c r="K565" s="4">
        <v>50</v>
      </c>
      <c r="L565" s="4" t="s">
        <v>8</v>
      </c>
      <c r="M565" s="4">
        <v>2</v>
      </c>
      <c r="N565" s="5">
        <v>50</v>
      </c>
      <c r="O565">
        <f>(M565*N565)</f>
        <v>100</v>
      </c>
      <c r="P565">
        <f>O565*$S$3</f>
        <v>1.5</v>
      </c>
      <c r="Q565">
        <f>O565*$S$4</f>
        <v>2</v>
      </c>
    </row>
    <row r="566" spans="1:17">
      <c r="A566" s="2">
        <v>565</v>
      </c>
      <c r="B566" s="4">
        <f>DAY(G566)</f>
        <v>7</v>
      </c>
      <c r="C566">
        <f>MONTH(G566)</f>
        <v>11</v>
      </c>
      <c r="D566">
        <f>YEAR(G566)</f>
        <v>2023</v>
      </c>
      <c r="E566" t="str">
        <f>TEXT(G566,"DDDD")</f>
        <v>Tuesday</v>
      </c>
      <c r="F566" t="str">
        <f>TEXT(G566,"MMMM")</f>
        <v>November</v>
      </c>
      <c r="G566" s="3">
        <v>45237</v>
      </c>
      <c r="H566" s="4" t="s">
        <v>598</v>
      </c>
      <c r="I566" s="4" t="s">
        <v>3</v>
      </c>
      <c r="J566" s="4" t="str">
        <f>IF(K566&lt;30, "Young Adult","Adult")</f>
        <v>Adult</v>
      </c>
      <c r="K566" s="4">
        <v>45</v>
      </c>
      <c r="L566" s="4" t="s">
        <v>6</v>
      </c>
      <c r="M566" s="4">
        <v>2</v>
      </c>
      <c r="N566" s="5">
        <v>30</v>
      </c>
      <c r="O566">
        <f>(M566*N566)</f>
        <v>60</v>
      </c>
      <c r="P566">
        <f>O566*$S$3</f>
        <v>0.89999999999999991</v>
      </c>
      <c r="Q566">
        <f>O566*$S$4</f>
        <v>1.2</v>
      </c>
    </row>
    <row r="567" spans="1:17">
      <c r="A567" s="2">
        <v>566</v>
      </c>
      <c r="B567" s="4">
        <f>DAY(G567)</f>
        <v>2</v>
      </c>
      <c r="C567">
        <f>MONTH(G567)</f>
        <v>12</v>
      </c>
      <c r="D567">
        <f>YEAR(G567)</f>
        <v>2023</v>
      </c>
      <c r="E567" t="str">
        <f>TEXT(G567,"DDDD")</f>
        <v>Saturday</v>
      </c>
      <c r="F567" t="str">
        <f>TEXT(G567,"MMMM")</f>
        <v>December</v>
      </c>
      <c r="G567" s="3">
        <v>45262</v>
      </c>
      <c r="H567" s="4" t="s">
        <v>599</v>
      </c>
      <c r="I567" s="4" t="s">
        <v>3</v>
      </c>
      <c r="J567" s="4" t="str">
        <f>IF(K567&lt;30, "Young Adult","Adult")</f>
        <v>Adult</v>
      </c>
      <c r="K567" s="4">
        <v>64</v>
      </c>
      <c r="L567" s="4" t="s">
        <v>7</v>
      </c>
      <c r="M567" s="4">
        <v>1</v>
      </c>
      <c r="N567" s="5">
        <v>30</v>
      </c>
      <c r="O567">
        <f>(M567*N567)</f>
        <v>30</v>
      </c>
      <c r="P567">
        <f>O567*$S$3</f>
        <v>0.44999999999999996</v>
      </c>
      <c r="Q567">
        <f>O567*$S$4</f>
        <v>0.6</v>
      </c>
    </row>
    <row r="568" spans="1:17">
      <c r="A568" s="2">
        <v>567</v>
      </c>
      <c r="B568" s="4">
        <f>DAY(G568)</f>
        <v>14</v>
      </c>
      <c r="C568">
        <f>MONTH(G568)</f>
        <v>6</v>
      </c>
      <c r="D568">
        <f>YEAR(G568)</f>
        <v>2023</v>
      </c>
      <c r="E568" t="str">
        <f>TEXT(G568,"DDDD")</f>
        <v>Wednesday</v>
      </c>
      <c r="F568" t="str">
        <f>TEXT(G568,"MMMM")</f>
        <v>June</v>
      </c>
      <c r="G568" s="3">
        <v>45091</v>
      </c>
      <c r="H568" s="4" t="s">
        <v>600</v>
      </c>
      <c r="I568" s="4" t="s">
        <v>3</v>
      </c>
      <c r="J568" s="4" t="str">
        <f>IF(K568&lt;30, "Young Adult","Adult")</f>
        <v>Young Adult</v>
      </c>
      <c r="K568" s="4">
        <v>25</v>
      </c>
      <c r="L568" s="4" t="s">
        <v>7</v>
      </c>
      <c r="M568" s="4">
        <v>3</v>
      </c>
      <c r="N568" s="5">
        <v>300</v>
      </c>
      <c r="O568">
        <f>(M568*N568)</f>
        <v>900</v>
      </c>
      <c r="P568">
        <f>O568*$S$3</f>
        <v>13.5</v>
      </c>
      <c r="Q568">
        <f>O568*$S$4</f>
        <v>18</v>
      </c>
    </row>
    <row r="569" spans="1:17">
      <c r="A569" s="2">
        <v>568</v>
      </c>
      <c r="B569" s="4">
        <f>DAY(G569)</f>
        <v>27</v>
      </c>
      <c r="C569">
        <f>MONTH(G569)</f>
        <v>8</v>
      </c>
      <c r="D569">
        <f>YEAR(G569)</f>
        <v>2023</v>
      </c>
      <c r="E569" t="str">
        <f>TEXT(G569,"DDDD")</f>
        <v>Sunday</v>
      </c>
      <c r="F569" t="str">
        <f>TEXT(G569,"MMMM")</f>
        <v>August</v>
      </c>
      <c r="G569" s="3">
        <v>45165</v>
      </c>
      <c r="H569" s="4" t="s">
        <v>601</v>
      </c>
      <c r="I569" s="4" t="s">
        <v>3</v>
      </c>
      <c r="J569" s="4" t="str">
        <f>IF(K569&lt;30, "Young Adult","Adult")</f>
        <v>Adult</v>
      </c>
      <c r="K569" s="4">
        <v>51</v>
      </c>
      <c r="L569" s="4" t="s">
        <v>8</v>
      </c>
      <c r="M569" s="4">
        <v>1</v>
      </c>
      <c r="N569" s="5">
        <v>300</v>
      </c>
      <c r="O569">
        <f>(M569*N569)</f>
        <v>300</v>
      </c>
      <c r="P569">
        <f>O569*$S$3</f>
        <v>4.5</v>
      </c>
      <c r="Q569">
        <f>O569*$S$4</f>
        <v>6</v>
      </c>
    </row>
    <row r="570" spans="1:17">
      <c r="A570" s="2">
        <v>569</v>
      </c>
      <c r="B570" s="4">
        <f>DAY(G570)</f>
        <v>15</v>
      </c>
      <c r="C570">
        <f>MONTH(G570)</f>
        <v>8</v>
      </c>
      <c r="D570">
        <f>YEAR(G570)</f>
        <v>2023</v>
      </c>
      <c r="E570" t="str">
        <f>TEXT(G570,"DDDD")</f>
        <v>Tuesday</v>
      </c>
      <c r="F570" t="str">
        <f>TEXT(G570,"MMMM")</f>
        <v>August</v>
      </c>
      <c r="G570" s="3">
        <v>45153</v>
      </c>
      <c r="H570" s="4" t="s">
        <v>602</v>
      </c>
      <c r="I570" s="4" t="s">
        <v>4</v>
      </c>
      <c r="J570" s="4" t="str">
        <f>IF(K570&lt;30, "Young Adult","Adult")</f>
        <v>Adult</v>
      </c>
      <c r="K570" s="4">
        <v>52</v>
      </c>
      <c r="L570" s="4" t="s">
        <v>8</v>
      </c>
      <c r="M570" s="4">
        <v>4</v>
      </c>
      <c r="N570" s="5">
        <v>50</v>
      </c>
      <c r="O570">
        <f>(M570*N570)</f>
        <v>200</v>
      </c>
      <c r="P570">
        <f>O570*$S$3</f>
        <v>3</v>
      </c>
      <c r="Q570">
        <f>O570*$S$4</f>
        <v>4</v>
      </c>
    </row>
    <row r="571" spans="1:17">
      <c r="A571" s="2">
        <v>570</v>
      </c>
      <c r="B571" s="4">
        <f>DAY(G571)</f>
        <v>15</v>
      </c>
      <c r="C571">
        <f>MONTH(G571)</f>
        <v>8</v>
      </c>
      <c r="D571">
        <f>YEAR(G571)</f>
        <v>2023</v>
      </c>
      <c r="E571" t="str">
        <f>TEXT(G571,"DDDD")</f>
        <v>Tuesday</v>
      </c>
      <c r="F571" t="str">
        <f>TEXT(G571,"MMMM")</f>
        <v>August</v>
      </c>
      <c r="G571" s="3">
        <v>45153</v>
      </c>
      <c r="H571" s="4" t="s">
        <v>603</v>
      </c>
      <c r="I571" s="4" t="s">
        <v>4</v>
      </c>
      <c r="J571" s="4" t="str">
        <f>IF(K571&lt;30, "Young Adult","Adult")</f>
        <v>Adult</v>
      </c>
      <c r="K571" s="4">
        <v>49</v>
      </c>
      <c r="L571" s="4" t="s">
        <v>7</v>
      </c>
      <c r="M571" s="4">
        <v>1</v>
      </c>
      <c r="N571" s="5">
        <v>500</v>
      </c>
      <c r="O571">
        <f>(M571*N571)</f>
        <v>500</v>
      </c>
      <c r="P571">
        <f>O571*$S$3</f>
        <v>7.5</v>
      </c>
      <c r="Q571">
        <f>O571*$S$4</f>
        <v>10</v>
      </c>
    </row>
    <row r="572" spans="1:17">
      <c r="A572" s="2">
        <v>571</v>
      </c>
      <c r="B572" s="4">
        <f>DAY(G572)</f>
        <v>12</v>
      </c>
      <c r="C572">
        <f>MONTH(G572)</f>
        <v>12</v>
      </c>
      <c r="D572">
        <f>YEAR(G572)</f>
        <v>2023</v>
      </c>
      <c r="E572" t="str">
        <f>TEXT(G572,"DDDD")</f>
        <v>Tuesday</v>
      </c>
      <c r="F572" t="str">
        <f>TEXT(G572,"MMMM")</f>
        <v>December</v>
      </c>
      <c r="G572" s="3">
        <v>45272</v>
      </c>
      <c r="H572" s="4" t="s">
        <v>604</v>
      </c>
      <c r="I572" s="4" t="s">
        <v>3</v>
      </c>
      <c r="J572" s="4" t="str">
        <f>IF(K572&lt;30, "Young Adult","Adult")</f>
        <v>Adult</v>
      </c>
      <c r="K572" s="4">
        <v>41</v>
      </c>
      <c r="L572" s="4" t="s">
        <v>8</v>
      </c>
      <c r="M572" s="4">
        <v>1</v>
      </c>
      <c r="N572" s="5">
        <v>50</v>
      </c>
      <c r="O572">
        <f>(M572*N572)</f>
        <v>50</v>
      </c>
      <c r="P572">
        <f>O572*$S$3</f>
        <v>0.75</v>
      </c>
      <c r="Q572">
        <f>O572*$S$4</f>
        <v>1</v>
      </c>
    </row>
    <row r="573" spans="1:17">
      <c r="A573" s="2">
        <v>572</v>
      </c>
      <c r="B573" s="4">
        <f>DAY(G573)</f>
        <v>20</v>
      </c>
      <c r="C573">
        <f>MONTH(G573)</f>
        <v>4</v>
      </c>
      <c r="D573">
        <f>YEAR(G573)</f>
        <v>2023</v>
      </c>
      <c r="E573" t="str">
        <f>TEXT(G573,"DDDD")</f>
        <v>Thursday</v>
      </c>
      <c r="F573" t="str">
        <f>TEXT(G573,"MMMM")</f>
        <v>April</v>
      </c>
      <c r="G573" s="3">
        <v>45036</v>
      </c>
      <c r="H573" s="4" t="s">
        <v>605</v>
      </c>
      <c r="I573" s="4" t="s">
        <v>4</v>
      </c>
      <c r="J573" s="4" t="str">
        <f>IF(K573&lt;30, "Young Adult","Adult")</f>
        <v>Adult</v>
      </c>
      <c r="K573" s="4">
        <v>31</v>
      </c>
      <c r="L573" s="4" t="s">
        <v>7</v>
      </c>
      <c r="M573" s="4">
        <v>4</v>
      </c>
      <c r="N573" s="5">
        <v>500</v>
      </c>
      <c r="O573">
        <f>(M573*N573)</f>
        <v>2000</v>
      </c>
      <c r="P573">
        <f>O573*$S$3</f>
        <v>30</v>
      </c>
      <c r="Q573">
        <f>O573*$S$4</f>
        <v>40</v>
      </c>
    </row>
    <row r="574" spans="1:17">
      <c r="A574" s="2">
        <v>573</v>
      </c>
      <c r="B574" s="4">
        <f>DAY(G574)</f>
        <v>19</v>
      </c>
      <c r="C574">
        <f>MONTH(G574)</f>
        <v>9</v>
      </c>
      <c r="D574">
        <f>YEAR(G574)</f>
        <v>2023</v>
      </c>
      <c r="E574" t="str">
        <f>TEXT(G574,"DDDD")</f>
        <v>Tuesday</v>
      </c>
      <c r="F574" t="str">
        <f>TEXT(G574,"MMMM")</f>
        <v>September</v>
      </c>
      <c r="G574" s="3">
        <v>45188</v>
      </c>
      <c r="H574" s="4" t="s">
        <v>606</v>
      </c>
      <c r="I574" s="4" t="s">
        <v>4</v>
      </c>
      <c r="J574" s="4" t="str">
        <f>IF(K574&lt;30, "Young Adult","Adult")</f>
        <v>Adult</v>
      </c>
      <c r="K574" s="4">
        <v>49</v>
      </c>
      <c r="L574" s="4" t="s">
        <v>6</v>
      </c>
      <c r="M574" s="4">
        <v>2</v>
      </c>
      <c r="N574" s="5">
        <v>30</v>
      </c>
      <c r="O574">
        <f>(M574*N574)</f>
        <v>60</v>
      </c>
      <c r="P574">
        <f>O574*$S$3</f>
        <v>0.89999999999999991</v>
      </c>
      <c r="Q574">
        <f>O574*$S$4</f>
        <v>1.2</v>
      </c>
    </row>
    <row r="575" spans="1:17">
      <c r="A575" s="2">
        <v>574</v>
      </c>
      <c r="B575" s="4">
        <f>DAY(G575)</f>
        <v>31</v>
      </c>
      <c r="C575">
        <f>MONTH(G575)</f>
        <v>8</v>
      </c>
      <c r="D575">
        <f>YEAR(G575)</f>
        <v>2023</v>
      </c>
      <c r="E575" t="str">
        <f>TEXT(G575,"DDDD")</f>
        <v>Thursday</v>
      </c>
      <c r="F575" t="str">
        <f>TEXT(G575,"MMMM")</f>
        <v>August</v>
      </c>
      <c r="G575" s="3">
        <v>45169</v>
      </c>
      <c r="H575" s="4" t="s">
        <v>607</v>
      </c>
      <c r="I575" s="4" t="s">
        <v>3</v>
      </c>
      <c r="J575" s="4" t="str">
        <f>IF(K575&lt;30, "Young Adult","Adult")</f>
        <v>Adult</v>
      </c>
      <c r="K575" s="4">
        <v>63</v>
      </c>
      <c r="L575" s="4" t="s">
        <v>8</v>
      </c>
      <c r="M575" s="4">
        <v>2</v>
      </c>
      <c r="N575" s="5">
        <v>25</v>
      </c>
      <c r="O575">
        <f>(M575*N575)</f>
        <v>50</v>
      </c>
      <c r="P575">
        <f>O575*$S$3</f>
        <v>0.75</v>
      </c>
      <c r="Q575">
        <f>O575*$S$4</f>
        <v>1</v>
      </c>
    </row>
    <row r="576" spans="1:17">
      <c r="A576" s="2">
        <v>575</v>
      </c>
      <c r="B576" s="4">
        <f>DAY(G576)</f>
        <v>28</v>
      </c>
      <c r="C576">
        <f>MONTH(G576)</f>
        <v>3</v>
      </c>
      <c r="D576">
        <f>YEAR(G576)</f>
        <v>2023</v>
      </c>
      <c r="E576" t="str">
        <f>TEXT(G576,"DDDD")</f>
        <v>Tuesday</v>
      </c>
      <c r="F576" t="str">
        <f>TEXT(G576,"MMMM")</f>
        <v>March</v>
      </c>
      <c r="G576" s="3">
        <v>45013</v>
      </c>
      <c r="H576" s="4" t="s">
        <v>608</v>
      </c>
      <c r="I576" s="4" t="s">
        <v>4</v>
      </c>
      <c r="J576" s="4" t="str">
        <f>IF(K576&lt;30, "Young Adult","Adult")</f>
        <v>Adult</v>
      </c>
      <c r="K576" s="4">
        <v>60</v>
      </c>
      <c r="L576" s="4" t="s">
        <v>7</v>
      </c>
      <c r="M576" s="4">
        <v>2</v>
      </c>
      <c r="N576" s="5">
        <v>50</v>
      </c>
      <c r="O576">
        <f>(M576*N576)</f>
        <v>100</v>
      </c>
      <c r="P576">
        <f>O576*$S$3</f>
        <v>1.5</v>
      </c>
      <c r="Q576">
        <f>O576*$S$4</f>
        <v>2</v>
      </c>
    </row>
    <row r="577" spans="1:17">
      <c r="A577" s="2">
        <v>576</v>
      </c>
      <c r="B577" s="4">
        <f>DAY(G577)</f>
        <v>4</v>
      </c>
      <c r="C577">
        <f>MONTH(G577)</f>
        <v>12</v>
      </c>
      <c r="D577">
        <f>YEAR(G577)</f>
        <v>2023</v>
      </c>
      <c r="E577" t="str">
        <f>TEXT(G577,"DDDD")</f>
        <v>Monday</v>
      </c>
      <c r="F577" t="str">
        <f>TEXT(G577,"MMMM")</f>
        <v>December</v>
      </c>
      <c r="G577" s="3">
        <v>45264</v>
      </c>
      <c r="H577" s="4" t="s">
        <v>609</v>
      </c>
      <c r="I577" s="4" t="s">
        <v>3</v>
      </c>
      <c r="J577" s="4" t="str">
        <f>IF(K577&lt;30, "Young Adult","Adult")</f>
        <v>Adult</v>
      </c>
      <c r="K577" s="4">
        <v>33</v>
      </c>
      <c r="L577" s="4" t="s">
        <v>6</v>
      </c>
      <c r="M577" s="4">
        <v>3</v>
      </c>
      <c r="N577" s="5">
        <v>50</v>
      </c>
      <c r="O577">
        <f>(M577*N577)</f>
        <v>150</v>
      </c>
      <c r="P577">
        <f>O577*$S$3</f>
        <v>2.25</v>
      </c>
      <c r="Q577">
        <f>O577*$S$4</f>
        <v>3</v>
      </c>
    </row>
    <row r="578" spans="1:17">
      <c r="A578" s="2">
        <v>577</v>
      </c>
      <c r="B578" s="4">
        <f>DAY(G578)</f>
        <v>13</v>
      </c>
      <c r="C578">
        <f>MONTH(G578)</f>
        <v>2</v>
      </c>
      <c r="D578">
        <f>YEAR(G578)</f>
        <v>2023</v>
      </c>
      <c r="E578" t="str">
        <f>TEXT(G578,"DDDD")</f>
        <v>Monday</v>
      </c>
      <c r="F578" t="str">
        <f>TEXT(G578,"MMMM")</f>
        <v>February</v>
      </c>
      <c r="G578" s="3">
        <v>44970</v>
      </c>
      <c r="H578" s="4" t="s">
        <v>610</v>
      </c>
      <c r="I578" s="4" t="s">
        <v>4</v>
      </c>
      <c r="J578" s="4" t="str">
        <f>IF(K578&lt;30, "Young Adult","Adult")</f>
        <v>Young Adult</v>
      </c>
      <c r="K578" s="4">
        <v>21</v>
      </c>
      <c r="L578" s="4" t="s">
        <v>6</v>
      </c>
      <c r="M578" s="4">
        <v>4</v>
      </c>
      <c r="N578" s="5">
        <v>500</v>
      </c>
      <c r="O578">
        <f>(M578*N578)</f>
        <v>2000</v>
      </c>
      <c r="P578">
        <f>O578*$S$3</f>
        <v>30</v>
      </c>
      <c r="Q578">
        <f>O578*$S$4</f>
        <v>40</v>
      </c>
    </row>
    <row r="579" spans="1:17">
      <c r="A579" s="2">
        <v>578</v>
      </c>
      <c r="B579" s="4">
        <f>DAY(G579)</f>
        <v>26</v>
      </c>
      <c r="C579">
        <f>MONTH(G579)</f>
        <v>5</v>
      </c>
      <c r="D579">
        <f>YEAR(G579)</f>
        <v>2023</v>
      </c>
      <c r="E579" t="str">
        <f>TEXT(G579,"DDDD")</f>
        <v>Friday</v>
      </c>
      <c r="F579" t="str">
        <f>TEXT(G579,"MMMM")</f>
        <v>May</v>
      </c>
      <c r="G579" s="3">
        <v>45072</v>
      </c>
      <c r="H579" s="4" t="s">
        <v>611</v>
      </c>
      <c r="I579" s="4" t="s">
        <v>3</v>
      </c>
      <c r="J579" s="4" t="str">
        <f>IF(K579&lt;30, "Young Adult","Adult")</f>
        <v>Adult</v>
      </c>
      <c r="K579" s="4">
        <v>54</v>
      </c>
      <c r="L579" s="4" t="s">
        <v>7</v>
      </c>
      <c r="M579" s="4">
        <v>4</v>
      </c>
      <c r="N579" s="5">
        <v>30</v>
      </c>
      <c r="O579">
        <f>(M579*N579)</f>
        <v>120</v>
      </c>
      <c r="P579">
        <f>O579*$S$3</f>
        <v>1.7999999999999998</v>
      </c>
      <c r="Q579">
        <f>O579*$S$4</f>
        <v>2.4</v>
      </c>
    </row>
    <row r="580" spans="1:17">
      <c r="A580" s="2">
        <v>579</v>
      </c>
      <c r="B580" s="4">
        <f>DAY(G580)</f>
        <v>21</v>
      </c>
      <c r="C580">
        <f>MONTH(G580)</f>
        <v>9</v>
      </c>
      <c r="D580">
        <f>YEAR(G580)</f>
        <v>2023</v>
      </c>
      <c r="E580" t="str">
        <f>TEXT(G580,"DDDD")</f>
        <v>Thursday</v>
      </c>
      <c r="F580" t="str">
        <f>TEXT(G580,"MMMM")</f>
        <v>September</v>
      </c>
      <c r="G580" s="3">
        <v>45190</v>
      </c>
      <c r="H580" s="4" t="s">
        <v>612</v>
      </c>
      <c r="I580" s="4" t="s">
        <v>3</v>
      </c>
      <c r="J580" s="4" t="str">
        <f>IF(K580&lt;30, "Young Adult","Adult")</f>
        <v>Adult</v>
      </c>
      <c r="K580" s="4">
        <v>38</v>
      </c>
      <c r="L580" s="4" t="s">
        <v>8</v>
      </c>
      <c r="M580" s="4">
        <v>1</v>
      </c>
      <c r="N580" s="5">
        <v>30</v>
      </c>
      <c r="O580">
        <f>(M580*N580)</f>
        <v>30</v>
      </c>
      <c r="P580">
        <f>O580*$S$3</f>
        <v>0.44999999999999996</v>
      </c>
      <c r="Q580">
        <f>O580*$S$4</f>
        <v>0.6</v>
      </c>
    </row>
    <row r="581" spans="1:17">
      <c r="A581" s="2">
        <v>580</v>
      </c>
      <c r="B581" s="4">
        <f>DAY(G581)</f>
        <v>6</v>
      </c>
      <c r="C581">
        <f>MONTH(G581)</f>
        <v>12</v>
      </c>
      <c r="D581">
        <f>YEAR(G581)</f>
        <v>2023</v>
      </c>
      <c r="E581" t="str">
        <f>TEXT(G581,"DDDD")</f>
        <v>Wednesday</v>
      </c>
      <c r="F581" t="str">
        <f>TEXT(G581,"MMMM")</f>
        <v>December</v>
      </c>
      <c r="G581" s="3">
        <v>45266</v>
      </c>
      <c r="H581" s="4" t="s">
        <v>613</v>
      </c>
      <c r="I581" s="4" t="s">
        <v>3</v>
      </c>
      <c r="J581" s="4" t="str">
        <f>IF(K581&lt;30, "Young Adult","Adult")</f>
        <v>Adult</v>
      </c>
      <c r="K581" s="4">
        <v>31</v>
      </c>
      <c r="L581" s="4" t="s">
        <v>7</v>
      </c>
      <c r="M581" s="4">
        <v>3</v>
      </c>
      <c r="N581" s="5">
        <v>500</v>
      </c>
      <c r="O581">
        <f>(M581*N581)</f>
        <v>1500</v>
      </c>
      <c r="P581">
        <f>O581*$S$3</f>
        <v>22.5</v>
      </c>
      <c r="Q581">
        <f>O581*$S$4</f>
        <v>30</v>
      </c>
    </row>
    <row r="582" spans="1:17">
      <c r="A582" s="2">
        <v>581</v>
      </c>
      <c r="B582" s="4">
        <f>DAY(G582)</f>
        <v>21</v>
      </c>
      <c r="C582">
        <f>MONTH(G582)</f>
        <v>11</v>
      </c>
      <c r="D582">
        <f>YEAR(G582)</f>
        <v>2023</v>
      </c>
      <c r="E582" t="str">
        <f>TEXT(G582,"DDDD")</f>
        <v>Tuesday</v>
      </c>
      <c r="F582" t="str">
        <f>TEXT(G582,"MMMM")</f>
        <v>November</v>
      </c>
      <c r="G582" s="3">
        <v>45251</v>
      </c>
      <c r="H582" s="4" t="s">
        <v>614</v>
      </c>
      <c r="I582" s="4" t="s">
        <v>3</v>
      </c>
      <c r="J582" s="4" t="str">
        <f>IF(K582&lt;30, "Young Adult","Adult")</f>
        <v>Adult</v>
      </c>
      <c r="K582" s="4">
        <v>48</v>
      </c>
      <c r="L582" s="4" t="s">
        <v>6</v>
      </c>
      <c r="M582" s="4">
        <v>2</v>
      </c>
      <c r="N582" s="5">
        <v>30</v>
      </c>
      <c r="O582">
        <f>(M582*N582)</f>
        <v>60</v>
      </c>
      <c r="P582">
        <f>O582*$S$3</f>
        <v>0.89999999999999991</v>
      </c>
      <c r="Q582">
        <f>O582*$S$4</f>
        <v>1.2</v>
      </c>
    </row>
    <row r="583" spans="1:17">
      <c r="A583" s="2">
        <v>582</v>
      </c>
      <c r="B583" s="4">
        <f>DAY(G583)</f>
        <v>14</v>
      </c>
      <c r="C583">
        <f>MONTH(G583)</f>
        <v>11</v>
      </c>
      <c r="D583">
        <f>YEAR(G583)</f>
        <v>2023</v>
      </c>
      <c r="E583" t="str">
        <f>TEXT(G583,"DDDD")</f>
        <v>Tuesday</v>
      </c>
      <c r="F583" t="str">
        <f>TEXT(G583,"MMMM")</f>
        <v>November</v>
      </c>
      <c r="G583" s="3">
        <v>45244</v>
      </c>
      <c r="H583" s="4" t="s">
        <v>615</v>
      </c>
      <c r="I583" s="4" t="s">
        <v>4</v>
      </c>
      <c r="J583" s="4" t="str">
        <f>IF(K583&lt;30, "Young Adult","Adult")</f>
        <v>Adult</v>
      </c>
      <c r="K583" s="4">
        <v>35</v>
      </c>
      <c r="L583" s="4" t="s">
        <v>7</v>
      </c>
      <c r="M583" s="4">
        <v>3</v>
      </c>
      <c r="N583" s="5">
        <v>300</v>
      </c>
      <c r="O583">
        <f>(M583*N583)</f>
        <v>900</v>
      </c>
      <c r="P583">
        <f>O583*$S$3</f>
        <v>13.5</v>
      </c>
      <c r="Q583">
        <f>O583*$S$4</f>
        <v>18</v>
      </c>
    </row>
    <row r="584" spans="1:17">
      <c r="A584" s="2">
        <v>583</v>
      </c>
      <c r="B584" s="4">
        <f>DAY(G584)</f>
        <v>21</v>
      </c>
      <c r="C584">
        <f>MONTH(G584)</f>
        <v>6</v>
      </c>
      <c r="D584">
        <f>YEAR(G584)</f>
        <v>2023</v>
      </c>
      <c r="E584" t="str">
        <f>TEXT(G584,"DDDD")</f>
        <v>Wednesday</v>
      </c>
      <c r="F584" t="str">
        <f>TEXT(G584,"MMMM")</f>
        <v>June</v>
      </c>
      <c r="G584" s="3">
        <v>45098</v>
      </c>
      <c r="H584" s="4" t="s">
        <v>616</v>
      </c>
      <c r="I584" s="4" t="s">
        <v>3</v>
      </c>
      <c r="J584" s="4" t="str">
        <f>IF(K584&lt;30, "Young Adult","Adult")</f>
        <v>Young Adult</v>
      </c>
      <c r="K584" s="4">
        <v>24</v>
      </c>
      <c r="L584" s="4" t="s">
        <v>8</v>
      </c>
      <c r="M584" s="4">
        <v>4</v>
      </c>
      <c r="N584" s="5">
        <v>25</v>
      </c>
      <c r="O584">
        <f>(M584*N584)</f>
        <v>100</v>
      </c>
      <c r="P584">
        <f>O584*$S$3</f>
        <v>1.5</v>
      </c>
      <c r="Q584">
        <f>O584*$S$4</f>
        <v>2</v>
      </c>
    </row>
    <row r="585" spans="1:17">
      <c r="A585" s="2">
        <v>584</v>
      </c>
      <c r="B585" s="4">
        <f>DAY(G585)</f>
        <v>17</v>
      </c>
      <c r="C585">
        <f>MONTH(G585)</f>
        <v>2</v>
      </c>
      <c r="D585">
        <f>YEAR(G585)</f>
        <v>2023</v>
      </c>
      <c r="E585" t="str">
        <f>TEXT(G585,"DDDD")</f>
        <v>Friday</v>
      </c>
      <c r="F585" t="str">
        <f>TEXT(G585,"MMMM")</f>
        <v>February</v>
      </c>
      <c r="G585" s="3">
        <v>44974</v>
      </c>
      <c r="H585" s="4" t="s">
        <v>617</v>
      </c>
      <c r="I585" s="4" t="s">
        <v>3</v>
      </c>
      <c r="J585" s="4" t="str">
        <f>IF(K585&lt;30, "Young Adult","Adult")</f>
        <v>Young Adult</v>
      </c>
      <c r="K585" s="4">
        <v>27</v>
      </c>
      <c r="L585" s="4" t="s">
        <v>6</v>
      </c>
      <c r="M585" s="4">
        <v>4</v>
      </c>
      <c r="N585" s="5">
        <v>50</v>
      </c>
      <c r="O585">
        <f>(M585*N585)</f>
        <v>200</v>
      </c>
      <c r="P585">
        <f>O585*$S$3</f>
        <v>3</v>
      </c>
      <c r="Q585">
        <f>O585*$S$4</f>
        <v>4</v>
      </c>
    </row>
    <row r="586" spans="1:17">
      <c r="A586" s="2">
        <v>585</v>
      </c>
      <c r="B586" s="4">
        <f>DAY(G586)</f>
        <v>1</v>
      </c>
      <c r="C586">
        <f>MONTH(G586)</f>
        <v>5</v>
      </c>
      <c r="D586">
        <f>YEAR(G586)</f>
        <v>2023</v>
      </c>
      <c r="E586" t="str">
        <f>TEXT(G586,"DDDD")</f>
        <v>Monday</v>
      </c>
      <c r="F586" t="str">
        <f>TEXT(G586,"MMMM")</f>
        <v>May</v>
      </c>
      <c r="G586" s="3">
        <v>45047</v>
      </c>
      <c r="H586" s="4" t="s">
        <v>618</v>
      </c>
      <c r="I586" s="4" t="s">
        <v>3</v>
      </c>
      <c r="J586" s="4" t="str">
        <f>IF(K586&lt;30, "Young Adult","Adult")</f>
        <v>Young Adult</v>
      </c>
      <c r="K586" s="4">
        <v>24</v>
      </c>
      <c r="L586" s="4" t="s">
        <v>7</v>
      </c>
      <c r="M586" s="4">
        <v>1</v>
      </c>
      <c r="N586" s="5">
        <v>25</v>
      </c>
      <c r="O586">
        <f>(M586*N586)</f>
        <v>25</v>
      </c>
      <c r="P586">
        <f>O586*$S$3</f>
        <v>0.375</v>
      </c>
      <c r="Q586">
        <f>O586*$S$4</f>
        <v>0.5</v>
      </c>
    </row>
    <row r="587" spans="1:17">
      <c r="A587" s="2">
        <v>586</v>
      </c>
      <c r="B587" s="4">
        <f>DAY(G587)</f>
        <v>11</v>
      </c>
      <c r="C587">
        <f>MONTH(G587)</f>
        <v>12</v>
      </c>
      <c r="D587">
        <f>YEAR(G587)</f>
        <v>2023</v>
      </c>
      <c r="E587" t="str">
        <f>TEXT(G587,"DDDD")</f>
        <v>Monday</v>
      </c>
      <c r="F587" t="str">
        <f>TEXT(G587,"MMMM")</f>
        <v>December</v>
      </c>
      <c r="G587" s="3">
        <v>45271</v>
      </c>
      <c r="H587" s="4" t="s">
        <v>619</v>
      </c>
      <c r="I587" s="4" t="s">
        <v>4</v>
      </c>
      <c r="J587" s="4" t="str">
        <f>IF(K587&lt;30, "Young Adult","Adult")</f>
        <v>Adult</v>
      </c>
      <c r="K587" s="4">
        <v>50</v>
      </c>
      <c r="L587" s="4" t="s">
        <v>8</v>
      </c>
      <c r="M587" s="4">
        <v>1</v>
      </c>
      <c r="N587" s="5">
        <v>50</v>
      </c>
      <c r="O587">
        <f>(M587*N587)</f>
        <v>50</v>
      </c>
      <c r="P587">
        <f>O587*$S$3</f>
        <v>0.75</v>
      </c>
      <c r="Q587">
        <f>O587*$S$4</f>
        <v>1</v>
      </c>
    </row>
    <row r="588" spans="1:17">
      <c r="A588" s="2">
        <v>587</v>
      </c>
      <c r="B588" s="4">
        <f>DAY(G588)</f>
        <v>8</v>
      </c>
      <c r="C588">
        <f>MONTH(G588)</f>
        <v>6</v>
      </c>
      <c r="D588">
        <f>YEAR(G588)</f>
        <v>2023</v>
      </c>
      <c r="E588" t="str">
        <f>TEXT(G588,"DDDD")</f>
        <v>Thursday</v>
      </c>
      <c r="F588" t="str">
        <f>TEXT(G588,"MMMM")</f>
        <v>June</v>
      </c>
      <c r="G588" s="3">
        <v>45085</v>
      </c>
      <c r="H588" s="4" t="s">
        <v>620</v>
      </c>
      <c r="I588" s="4" t="s">
        <v>3</v>
      </c>
      <c r="J588" s="4" t="str">
        <f>IF(K588&lt;30, "Young Adult","Adult")</f>
        <v>Adult</v>
      </c>
      <c r="K588" s="4">
        <v>40</v>
      </c>
      <c r="L588" s="4" t="s">
        <v>6</v>
      </c>
      <c r="M588" s="4">
        <v>4</v>
      </c>
      <c r="N588" s="5">
        <v>300</v>
      </c>
      <c r="O588">
        <f>(M588*N588)</f>
        <v>1200</v>
      </c>
      <c r="P588">
        <f>O588*$S$3</f>
        <v>18</v>
      </c>
      <c r="Q588">
        <f>O588*$S$4</f>
        <v>24</v>
      </c>
    </row>
    <row r="589" spans="1:17">
      <c r="A589" s="2">
        <v>588</v>
      </c>
      <c r="B589" s="4">
        <f>DAY(G589)</f>
        <v>26</v>
      </c>
      <c r="C589">
        <f>MONTH(G589)</f>
        <v>4</v>
      </c>
      <c r="D589">
        <f>YEAR(G589)</f>
        <v>2023</v>
      </c>
      <c r="E589" t="str">
        <f>TEXT(G589,"DDDD")</f>
        <v>Wednesday</v>
      </c>
      <c r="F589" t="str">
        <f>TEXT(G589,"MMMM")</f>
        <v>April</v>
      </c>
      <c r="G589" s="3">
        <v>45042</v>
      </c>
      <c r="H589" s="4" t="s">
        <v>621</v>
      </c>
      <c r="I589" s="4" t="s">
        <v>4</v>
      </c>
      <c r="J589" s="4" t="str">
        <f>IF(K589&lt;30, "Young Adult","Adult")</f>
        <v>Adult</v>
      </c>
      <c r="K589" s="4">
        <v>38</v>
      </c>
      <c r="L589" s="4" t="s">
        <v>8</v>
      </c>
      <c r="M589" s="4">
        <v>2</v>
      </c>
      <c r="N589" s="5">
        <v>30</v>
      </c>
      <c r="O589">
        <f>(M589*N589)</f>
        <v>60</v>
      </c>
      <c r="P589">
        <f>O589*$S$3</f>
        <v>0.89999999999999991</v>
      </c>
      <c r="Q589">
        <f>O589*$S$4</f>
        <v>1.2</v>
      </c>
    </row>
    <row r="590" spans="1:17">
      <c r="A590" s="2">
        <v>589</v>
      </c>
      <c r="B590" s="4">
        <f>DAY(G590)</f>
        <v>12</v>
      </c>
      <c r="C590">
        <f>MONTH(G590)</f>
        <v>4</v>
      </c>
      <c r="D590">
        <f>YEAR(G590)</f>
        <v>2023</v>
      </c>
      <c r="E590" t="str">
        <f>TEXT(G590,"DDDD")</f>
        <v>Wednesday</v>
      </c>
      <c r="F590" t="str">
        <f>TEXT(G590,"MMMM")</f>
        <v>April</v>
      </c>
      <c r="G590" s="3">
        <v>45028</v>
      </c>
      <c r="H590" s="4" t="s">
        <v>622</v>
      </c>
      <c r="I590" s="4" t="s">
        <v>3</v>
      </c>
      <c r="J590" s="4" t="str">
        <f>IF(K590&lt;30, "Young Adult","Adult")</f>
        <v>Adult</v>
      </c>
      <c r="K590" s="4">
        <v>36</v>
      </c>
      <c r="L590" s="4" t="s">
        <v>6</v>
      </c>
      <c r="M590" s="4">
        <v>2</v>
      </c>
      <c r="N590" s="5">
        <v>500</v>
      </c>
      <c r="O590">
        <f>(M590*N590)</f>
        <v>1000</v>
      </c>
      <c r="P590">
        <f>O590*$S$3</f>
        <v>15</v>
      </c>
      <c r="Q590">
        <f>O590*$S$4</f>
        <v>20</v>
      </c>
    </row>
    <row r="591" spans="1:17">
      <c r="A591" s="2">
        <v>590</v>
      </c>
      <c r="B591" s="4">
        <f>DAY(G591)</f>
        <v>17</v>
      </c>
      <c r="C591">
        <f>MONTH(G591)</f>
        <v>3</v>
      </c>
      <c r="D591">
        <f>YEAR(G591)</f>
        <v>2023</v>
      </c>
      <c r="E591" t="str">
        <f>TEXT(G591,"DDDD")</f>
        <v>Friday</v>
      </c>
      <c r="F591" t="str">
        <f>TEXT(G591,"MMMM")</f>
        <v>March</v>
      </c>
      <c r="G591" s="3">
        <v>45002</v>
      </c>
      <c r="H591" s="4" t="s">
        <v>623</v>
      </c>
      <c r="I591" s="4" t="s">
        <v>4</v>
      </c>
      <c r="J591" s="4" t="str">
        <f>IF(K591&lt;30, "Young Adult","Adult")</f>
        <v>Adult</v>
      </c>
      <c r="K591" s="4">
        <v>36</v>
      </c>
      <c r="L591" s="4" t="s">
        <v>7</v>
      </c>
      <c r="M591" s="4">
        <v>3</v>
      </c>
      <c r="N591" s="5">
        <v>300</v>
      </c>
      <c r="O591">
        <f>(M591*N591)</f>
        <v>900</v>
      </c>
      <c r="P591">
        <f>O591*$S$3</f>
        <v>13.5</v>
      </c>
      <c r="Q591">
        <f>O591*$S$4</f>
        <v>18</v>
      </c>
    </row>
    <row r="592" spans="1:17">
      <c r="A592" s="2">
        <v>591</v>
      </c>
      <c r="B592" s="4">
        <f>DAY(G592)</f>
        <v>13</v>
      </c>
      <c r="C592">
        <f>MONTH(G592)</f>
        <v>1</v>
      </c>
      <c r="D592">
        <f>YEAR(G592)</f>
        <v>2023</v>
      </c>
      <c r="E592" t="str">
        <f>TEXT(G592,"DDDD")</f>
        <v>Friday</v>
      </c>
      <c r="F592" t="str">
        <f>TEXT(G592,"MMMM")</f>
        <v>January</v>
      </c>
      <c r="G592" s="3">
        <v>44939</v>
      </c>
      <c r="H592" s="4" t="s">
        <v>624</v>
      </c>
      <c r="I592" s="4" t="s">
        <v>4</v>
      </c>
      <c r="J592" s="4" t="str">
        <f>IF(K592&lt;30, "Young Adult","Adult")</f>
        <v>Adult</v>
      </c>
      <c r="K592" s="4">
        <v>53</v>
      </c>
      <c r="L592" s="4" t="s">
        <v>8</v>
      </c>
      <c r="M592" s="4">
        <v>4</v>
      </c>
      <c r="N592" s="5">
        <v>25</v>
      </c>
      <c r="O592">
        <f>(M592*N592)</f>
        <v>100</v>
      </c>
      <c r="P592">
        <f>O592*$S$3</f>
        <v>1.5</v>
      </c>
      <c r="Q592">
        <f>O592*$S$4</f>
        <v>2</v>
      </c>
    </row>
    <row r="593" spans="1:17">
      <c r="A593" s="2">
        <v>592</v>
      </c>
      <c r="B593" s="4">
        <f>DAY(G593)</f>
        <v>24</v>
      </c>
      <c r="C593">
        <f>MONTH(G593)</f>
        <v>1</v>
      </c>
      <c r="D593">
        <f>YEAR(G593)</f>
        <v>2023</v>
      </c>
      <c r="E593" t="str">
        <f>TEXT(G593,"DDDD")</f>
        <v>Tuesday</v>
      </c>
      <c r="F593" t="str">
        <f>TEXT(G593,"MMMM")</f>
        <v>January</v>
      </c>
      <c r="G593" s="3">
        <v>44950</v>
      </c>
      <c r="H593" s="4" t="s">
        <v>625</v>
      </c>
      <c r="I593" s="4" t="s">
        <v>3</v>
      </c>
      <c r="J593" s="4" t="str">
        <f>IF(K593&lt;30, "Young Adult","Adult")</f>
        <v>Adult</v>
      </c>
      <c r="K593" s="4">
        <v>46</v>
      </c>
      <c r="L593" s="4" t="s">
        <v>6</v>
      </c>
      <c r="M593" s="4">
        <v>4</v>
      </c>
      <c r="N593" s="5">
        <v>500</v>
      </c>
      <c r="O593">
        <f>(M593*N593)</f>
        <v>2000</v>
      </c>
      <c r="P593">
        <f>O593*$S$3</f>
        <v>30</v>
      </c>
      <c r="Q593">
        <f>O593*$S$4</f>
        <v>40</v>
      </c>
    </row>
    <row r="594" spans="1:17">
      <c r="A594" s="2">
        <v>593</v>
      </c>
      <c r="B594" s="4">
        <f>DAY(G594)</f>
        <v>6</v>
      </c>
      <c r="C594">
        <f>MONTH(G594)</f>
        <v>5</v>
      </c>
      <c r="D594">
        <f>YEAR(G594)</f>
        <v>2023</v>
      </c>
      <c r="E594" t="str">
        <f>TEXT(G594,"DDDD")</f>
        <v>Saturday</v>
      </c>
      <c r="F594" t="str">
        <f>TEXT(G594,"MMMM")</f>
        <v>May</v>
      </c>
      <c r="G594" s="3">
        <v>45052</v>
      </c>
      <c r="H594" s="4" t="s">
        <v>626</v>
      </c>
      <c r="I594" s="4" t="s">
        <v>4</v>
      </c>
      <c r="J594" s="4" t="str">
        <f>IF(K594&lt;30, "Young Adult","Adult")</f>
        <v>Adult</v>
      </c>
      <c r="K594" s="4">
        <v>35</v>
      </c>
      <c r="L594" s="4" t="s">
        <v>8</v>
      </c>
      <c r="M594" s="4">
        <v>2</v>
      </c>
      <c r="N594" s="5">
        <v>30</v>
      </c>
      <c r="O594">
        <f>(M594*N594)</f>
        <v>60</v>
      </c>
      <c r="P594">
        <f>O594*$S$3</f>
        <v>0.89999999999999991</v>
      </c>
      <c r="Q594">
        <f>O594*$S$4</f>
        <v>1.2</v>
      </c>
    </row>
    <row r="595" spans="1:17">
      <c r="A595" s="2">
        <v>594</v>
      </c>
      <c r="B595" s="4">
        <f>DAY(G595)</f>
        <v>1</v>
      </c>
      <c r="C595">
        <f>MONTH(G595)</f>
        <v>9</v>
      </c>
      <c r="D595">
        <f>YEAR(G595)</f>
        <v>2023</v>
      </c>
      <c r="E595" t="str">
        <f>TEXT(G595,"DDDD")</f>
        <v>Friday</v>
      </c>
      <c r="F595" t="str">
        <f>TEXT(G595,"MMMM")</f>
        <v>September</v>
      </c>
      <c r="G595" s="3">
        <v>45170</v>
      </c>
      <c r="H595" s="4" t="s">
        <v>627</v>
      </c>
      <c r="I595" s="4" t="s">
        <v>3</v>
      </c>
      <c r="J595" s="4" t="str">
        <f>IF(K595&lt;30, "Young Adult","Adult")</f>
        <v>Young Adult</v>
      </c>
      <c r="K595" s="4">
        <v>19</v>
      </c>
      <c r="L595" s="4" t="s">
        <v>8</v>
      </c>
      <c r="M595" s="4">
        <v>2</v>
      </c>
      <c r="N595" s="5">
        <v>300</v>
      </c>
      <c r="O595">
        <f>(M595*N595)</f>
        <v>600</v>
      </c>
      <c r="P595">
        <f>O595*$S$3</f>
        <v>9</v>
      </c>
      <c r="Q595">
        <f>O595*$S$4</f>
        <v>12</v>
      </c>
    </row>
    <row r="596" spans="1:17">
      <c r="A596" s="2">
        <v>595</v>
      </c>
      <c r="B596" s="4">
        <f>DAY(G596)</f>
        <v>9</v>
      </c>
      <c r="C596">
        <f>MONTH(G596)</f>
        <v>11</v>
      </c>
      <c r="D596">
        <f>YEAR(G596)</f>
        <v>2023</v>
      </c>
      <c r="E596" t="str">
        <f>TEXT(G596,"DDDD")</f>
        <v>Thursday</v>
      </c>
      <c r="F596" t="str">
        <f>TEXT(G596,"MMMM")</f>
        <v>November</v>
      </c>
      <c r="G596" s="3">
        <v>45239</v>
      </c>
      <c r="H596" s="4" t="s">
        <v>628</v>
      </c>
      <c r="I596" s="4" t="s">
        <v>3</v>
      </c>
      <c r="J596" s="4" t="str">
        <f>IF(K596&lt;30, "Young Adult","Adult")</f>
        <v>Young Adult</v>
      </c>
      <c r="K596" s="4">
        <v>18</v>
      </c>
      <c r="L596" s="4" t="s">
        <v>7</v>
      </c>
      <c r="M596" s="4">
        <v>4</v>
      </c>
      <c r="N596" s="5">
        <v>500</v>
      </c>
      <c r="O596">
        <f>(M596*N596)</f>
        <v>2000</v>
      </c>
      <c r="P596">
        <f>O596*$S$3</f>
        <v>30</v>
      </c>
      <c r="Q596">
        <f>O596*$S$4</f>
        <v>40</v>
      </c>
    </row>
    <row r="597" spans="1:17">
      <c r="A597" s="2">
        <v>596</v>
      </c>
      <c r="B597" s="4">
        <f>DAY(G597)</f>
        <v>7</v>
      </c>
      <c r="C597">
        <f>MONTH(G597)</f>
        <v>2</v>
      </c>
      <c r="D597">
        <f>YEAR(G597)</f>
        <v>2023</v>
      </c>
      <c r="E597" t="str">
        <f>TEXT(G597,"DDDD")</f>
        <v>Tuesday</v>
      </c>
      <c r="F597" t="str">
        <f>TEXT(G597,"MMMM")</f>
        <v>February</v>
      </c>
      <c r="G597" s="3">
        <v>44964</v>
      </c>
      <c r="H597" s="4" t="s">
        <v>629</v>
      </c>
      <c r="I597" s="4" t="s">
        <v>3</v>
      </c>
      <c r="J597" s="4" t="str">
        <f>IF(K597&lt;30, "Young Adult","Adult")</f>
        <v>Adult</v>
      </c>
      <c r="K597" s="4">
        <v>64</v>
      </c>
      <c r="L597" s="4" t="s">
        <v>8</v>
      </c>
      <c r="M597" s="4">
        <v>1</v>
      </c>
      <c r="N597" s="5">
        <v>300</v>
      </c>
      <c r="O597">
        <f>(M597*N597)</f>
        <v>300</v>
      </c>
      <c r="P597">
        <f>O597*$S$3</f>
        <v>4.5</v>
      </c>
      <c r="Q597">
        <f>O597*$S$4</f>
        <v>6</v>
      </c>
    </row>
    <row r="598" spans="1:17">
      <c r="A598" s="2">
        <v>597</v>
      </c>
      <c r="B598" s="4">
        <f>DAY(G598)</f>
        <v>22</v>
      </c>
      <c r="C598">
        <f>MONTH(G598)</f>
        <v>8</v>
      </c>
      <c r="D598">
        <f>YEAR(G598)</f>
        <v>2023</v>
      </c>
      <c r="E598" t="str">
        <f>TEXT(G598,"DDDD")</f>
        <v>Tuesday</v>
      </c>
      <c r="F598" t="str">
        <f>TEXT(G598,"MMMM")</f>
        <v>August</v>
      </c>
      <c r="G598" s="3">
        <v>45160</v>
      </c>
      <c r="H598" s="4" t="s">
        <v>630</v>
      </c>
      <c r="I598" s="4" t="s">
        <v>4</v>
      </c>
      <c r="J598" s="4" t="str">
        <f>IF(K598&lt;30, "Young Adult","Adult")</f>
        <v>Young Adult</v>
      </c>
      <c r="K598" s="4">
        <v>22</v>
      </c>
      <c r="L598" s="4" t="s">
        <v>6</v>
      </c>
      <c r="M598" s="4">
        <v>4</v>
      </c>
      <c r="N598" s="5">
        <v>300</v>
      </c>
      <c r="O598">
        <f>(M598*N598)</f>
        <v>1200</v>
      </c>
      <c r="P598">
        <f>O598*$S$3</f>
        <v>18</v>
      </c>
      <c r="Q598">
        <f>O598*$S$4</f>
        <v>24</v>
      </c>
    </row>
    <row r="599" spans="1:17">
      <c r="A599" s="2">
        <v>598</v>
      </c>
      <c r="B599" s="4">
        <f>DAY(G599)</f>
        <v>1</v>
      </c>
      <c r="C599">
        <f>MONTH(G599)</f>
        <v>8</v>
      </c>
      <c r="D599">
        <f>YEAR(G599)</f>
        <v>2023</v>
      </c>
      <c r="E599" t="str">
        <f>TEXT(G599,"DDDD")</f>
        <v>Tuesday</v>
      </c>
      <c r="F599" t="str">
        <f>TEXT(G599,"MMMM")</f>
        <v>August</v>
      </c>
      <c r="G599" s="3">
        <v>45139</v>
      </c>
      <c r="H599" s="4" t="s">
        <v>631</v>
      </c>
      <c r="I599" s="4" t="s">
        <v>4</v>
      </c>
      <c r="J599" s="4" t="str">
        <f>IF(K599&lt;30, "Young Adult","Adult")</f>
        <v>Adult</v>
      </c>
      <c r="K599" s="4">
        <v>37</v>
      </c>
      <c r="L599" s="4" t="s">
        <v>6</v>
      </c>
      <c r="M599" s="4">
        <v>4</v>
      </c>
      <c r="N599" s="5">
        <v>30</v>
      </c>
      <c r="O599">
        <f>(M599*N599)</f>
        <v>120</v>
      </c>
      <c r="P599">
        <f>O599*$S$3</f>
        <v>1.7999999999999998</v>
      </c>
      <c r="Q599">
        <f>O599*$S$4</f>
        <v>2.4</v>
      </c>
    </row>
    <row r="600" spans="1:17">
      <c r="A600" s="2">
        <v>599</v>
      </c>
      <c r="B600" s="4">
        <f>DAY(G600)</f>
        <v>19</v>
      </c>
      <c r="C600">
        <f>MONTH(G600)</f>
        <v>11</v>
      </c>
      <c r="D600">
        <f>YEAR(G600)</f>
        <v>2023</v>
      </c>
      <c r="E600" t="str">
        <f>TEXT(G600,"DDDD")</f>
        <v>Sunday</v>
      </c>
      <c r="F600" t="str">
        <f>TEXT(G600,"MMMM")</f>
        <v>November</v>
      </c>
      <c r="G600" s="3">
        <v>45249</v>
      </c>
      <c r="H600" s="4" t="s">
        <v>632</v>
      </c>
      <c r="I600" s="4" t="s">
        <v>3</v>
      </c>
      <c r="J600" s="4" t="str">
        <f>IF(K600&lt;30, "Young Adult","Adult")</f>
        <v>Young Adult</v>
      </c>
      <c r="K600" s="4">
        <v>28</v>
      </c>
      <c r="L600" s="4" t="s">
        <v>6</v>
      </c>
      <c r="M600" s="4">
        <v>2</v>
      </c>
      <c r="N600" s="5">
        <v>50</v>
      </c>
      <c r="O600">
        <f>(M600*N600)</f>
        <v>100</v>
      </c>
      <c r="P600">
        <f>O600*$S$3</f>
        <v>1.5</v>
      </c>
      <c r="Q600">
        <f>O600*$S$4</f>
        <v>2</v>
      </c>
    </row>
    <row r="601" spans="1:17">
      <c r="A601" s="2">
        <v>600</v>
      </c>
      <c r="B601" s="4">
        <f>DAY(G601)</f>
        <v>22</v>
      </c>
      <c r="C601">
        <f>MONTH(G601)</f>
        <v>10</v>
      </c>
      <c r="D601">
        <f>YEAR(G601)</f>
        <v>2023</v>
      </c>
      <c r="E601" t="str">
        <f>TEXT(G601,"DDDD")</f>
        <v>Sunday</v>
      </c>
      <c r="F601" t="str">
        <f>TEXT(G601,"MMMM")</f>
        <v>October</v>
      </c>
      <c r="G601" s="3">
        <v>45221</v>
      </c>
      <c r="H601" s="4" t="s">
        <v>633</v>
      </c>
      <c r="I601" s="4" t="s">
        <v>3</v>
      </c>
      <c r="J601" s="4" t="str">
        <f>IF(K601&lt;30, "Young Adult","Adult")</f>
        <v>Adult</v>
      </c>
      <c r="K601" s="4">
        <v>59</v>
      </c>
      <c r="L601" s="4" t="s">
        <v>6</v>
      </c>
      <c r="M601" s="4">
        <v>2</v>
      </c>
      <c r="N601" s="5">
        <v>500</v>
      </c>
      <c r="O601">
        <f>(M601*N601)</f>
        <v>1000</v>
      </c>
      <c r="P601">
        <f>O601*$S$3</f>
        <v>15</v>
      </c>
      <c r="Q601">
        <f>O601*$S$4</f>
        <v>20</v>
      </c>
    </row>
    <row r="602" spans="1:17">
      <c r="A602" s="2">
        <v>601</v>
      </c>
      <c r="B602" s="4">
        <f>DAY(G602)</f>
        <v>10</v>
      </c>
      <c r="C602">
        <f>MONTH(G602)</f>
        <v>4</v>
      </c>
      <c r="D602">
        <f>YEAR(G602)</f>
        <v>2023</v>
      </c>
      <c r="E602" t="str">
        <f>TEXT(G602,"DDDD")</f>
        <v>Monday</v>
      </c>
      <c r="F602" t="str">
        <f>TEXT(G602,"MMMM")</f>
        <v>April</v>
      </c>
      <c r="G602" s="3">
        <v>45026</v>
      </c>
      <c r="H602" s="4" t="s">
        <v>634</v>
      </c>
      <c r="I602" s="4" t="s">
        <v>4</v>
      </c>
      <c r="J602" s="4" t="str">
        <f>IF(K602&lt;30, "Young Adult","Adult")</f>
        <v>Young Adult</v>
      </c>
      <c r="K602" s="4">
        <v>19</v>
      </c>
      <c r="L602" s="4" t="s">
        <v>7</v>
      </c>
      <c r="M602" s="4">
        <v>1</v>
      </c>
      <c r="N602" s="5">
        <v>30</v>
      </c>
      <c r="O602">
        <f>(M602*N602)</f>
        <v>30</v>
      </c>
      <c r="P602">
        <f>O602*$S$3</f>
        <v>0.44999999999999996</v>
      </c>
      <c r="Q602">
        <f>O602*$S$4</f>
        <v>0.6</v>
      </c>
    </row>
    <row r="603" spans="1:17">
      <c r="A603" s="2">
        <v>602</v>
      </c>
      <c r="B603" s="4">
        <f>DAY(G603)</f>
        <v>23</v>
      </c>
      <c r="C603">
        <f>MONTH(G603)</f>
        <v>12</v>
      </c>
      <c r="D603">
        <f>YEAR(G603)</f>
        <v>2023</v>
      </c>
      <c r="E603" t="str">
        <f>TEXT(G603,"DDDD")</f>
        <v>Saturday</v>
      </c>
      <c r="F603" t="str">
        <f>TEXT(G603,"MMMM")</f>
        <v>December</v>
      </c>
      <c r="G603" s="3">
        <v>45283</v>
      </c>
      <c r="H603" s="4" t="s">
        <v>635</v>
      </c>
      <c r="I603" s="4" t="s">
        <v>3</v>
      </c>
      <c r="J603" s="4" t="str">
        <f>IF(K603&lt;30, "Young Adult","Adult")</f>
        <v>Young Adult</v>
      </c>
      <c r="K603" s="4">
        <v>20</v>
      </c>
      <c r="L603" s="4" t="s">
        <v>8</v>
      </c>
      <c r="M603" s="4">
        <v>1</v>
      </c>
      <c r="N603" s="5">
        <v>300</v>
      </c>
      <c r="O603">
        <f>(M603*N603)</f>
        <v>300</v>
      </c>
      <c r="P603">
        <f>O603*$S$3</f>
        <v>4.5</v>
      </c>
      <c r="Q603">
        <f>O603*$S$4</f>
        <v>6</v>
      </c>
    </row>
    <row r="604" spans="1:17">
      <c r="A604" s="2">
        <v>603</v>
      </c>
      <c r="B604" s="4">
        <f>DAY(G604)</f>
        <v>16</v>
      </c>
      <c r="C604">
        <f>MONTH(G604)</f>
        <v>7</v>
      </c>
      <c r="D604">
        <f>YEAR(G604)</f>
        <v>2023</v>
      </c>
      <c r="E604" t="str">
        <f>TEXT(G604,"DDDD")</f>
        <v>Sunday</v>
      </c>
      <c r="F604" t="str">
        <f>TEXT(G604,"MMMM")</f>
        <v>July</v>
      </c>
      <c r="G604" s="3">
        <v>45123</v>
      </c>
      <c r="H604" s="4" t="s">
        <v>636</v>
      </c>
      <c r="I604" s="4" t="s">
        <v>3</v>
      </c>
      <c r="J604" s="4" t="str">
        <f>IF(K604&lt;30, "Young Adult","Adult")</f>
        <v>Adult</v>
      </c>
      <c r="K604" s="4">
        <v>40</v>
      </c>
      <c r="L604" s="4" t="s">
        <v>7</v>
      </c>
      <c r="M604" s="4">
        <v>3</v>
      </c>
      <c r="N604" s="5">
        <v>30</v>
      </c>
      <c r="O604">
        <f>(M604*N604)</f>
        <v>90</v>
      </c>
      <c r="P604">
        <f>O604*$S$3</f>
        <v>1.3499999999999999</v>
      </c>
      <c r="Q604">
        <f>O604*$S$4</f>
        <v>1.8</v>
      </c>
    </row>
    <row r="605" spans="1:17">
      <c r="A605" s="2">
        <v>604</v>
      </c>
      <c r="B605" s="4">
        <f>DAY(G605)</f>
        <v>11</v>
      </c>
      <c r="C605">
        <f>MONTH(G605)</f>
        <v>9</v>
      </c>
      <c r="D605">
        <f>YEAR(G605)</f>
        <v>2023</v>
      </c>
      <c r="E605" t="str">
        <f>TEXT(G605,"DDDD")</f>
        <v>Monday</v>
      </c>
      <c r="F605" t="str">
        <f>TEXT(G605,"MMMM")</f>
        <v>September</v>
      </c>
      <c r="G605" s="3">
        <v>45180</v>
      </c>
      <c r="H605" s="4" t="s">
        <v>637</v>
      </c>
      <c r="I605" s="4" t="s">
        <v>3</v>
      </c>
      <c r="J605" s="4" t="str">
        <f>IF(K605&lt;30, "Young Adult","Adult")</f>
        <v>Young Adult</v>
      </c>
      <c r="K605" s="4">
        <v>29</v>
      </c>
      <c r="L605" s="4" t="s">
        <v>8</v>
      </c>
      <c r="M605" s="4">
        <v>4</v>
      </c>
      <c r="N605" s="5">
        <v>50</v>
      </c>
      <c r="O605">
        <f>(M605*N605)</f>
        <v>200</v>
      </c>
      <c r="P605">
        <f>O605*$S$3</f>
        <v>3</v>
      </c>
      <c r="Q605">
        <f>O605*$S$4</f>
        <v>4</v>
      </c>
    </row>
    <row r="606" spans="1:17">
      <c r="A606" s="2">
        <v>605</v>
      </c>
      <c r="B606" s="4">
        <f>DAY(G606)</f>
        <v>24</v>
      </c>
      <c r="C606">
        <f>MONTH(G606)</f>
        <v>7</v>
      </c>
      <c r="D606">
        <f>YEAR(G606)</f>
        <v>2023</v>
      </c>
      <c r="E606" t="str">
        <f>TEXT(G606,"DDDD")</f>
        <v>Monday</v>
      </c>
      <c r="F606" t="str">
        <f>TEXT(G606,"MMMM")</f>
        <v>July</v>
      </c>
      <c r="G606" s="3">
        <v>45131</v>
      </c>
      <c r="H606" s="4" t="s">
        <v>638</v>
      </c>
      <c r="I606" s="4" t="s">
        <v>4</v>
      </c>
      <c r="J606" s="4" t="str">
        <f>IF(K606&lt;30, "Young Adult","Adult")</f>
        <v>Adult</v>
      </c>
      <c r="K606" s="4">
        <v>37</v>
      </c>
      <c r="L606" s="4" t="s">
        <v>8</v>
      </c>
      <c r="M606" s="4">
        <v>2</v>
      </c>
      <c r="N606" s="5">
        <v>500</v>
      </c>
      <c r="O606">
        <f>(M606*N606)</f>
        <v>1000</v>
      </c>
      <c r="P606">
        <f>O606*$S$3</f>
        <v>15</v>
      </c>
      <c r="Q606">
        <f>O606*$S$4</f>
        <v>20</v>
      </c>
    </row>
    <row r="607" spans="1:17">
      <c r="A607" s="2">
        <v>606</v>
      </c>
      <c r="B607" s="4">
        <f>DAY(G607)</f>
        <v>5</v>
      </c>
      <c r="C607">
        <f>MONTH(G607)</f>
        <v>5</v>
      </c>
      <c r="D607">
        <f>YEAR(G607)</f>
        <v>2023</v>
      </c>
      <c r="E607" t="str">
        <f>TEXT(G607,"DDDD")</f>
        <v>Friday</v>
      </c>
      <c r="F607" t="str">
        <f>TEXT(G607,"MMMM")</f>
        <v>May</v>
      </c>
      <c r="G607" s="3">
        <v>45051</v>
      </c>
      <c r="H607" s="4" t="s">
        <v>639</v>
      </c>
      <c r="I607" s="4" t="s">
        <v>4</v>
      </c>
      <c r="J607" s="4" t="str">
        <f>IF(K607&lt;30, "Young Adult","Adult")</f>
        <v>Young Adult</v>
      </c>
      <c r="K607" s="4">
        <v>22</v>
      </c>
      <c r="L607" s="4" t="s">
        <v>8</v>
      </c>
      <c r="M607" s="4">
        <v>1</v>
      </c>
      <c r="N607" s="5">
        <v>50</v>
      </c>
      <c r="O607">
        <f>(M607*N607)</f>
        <v>50</v>
      </c>
      <c r="P607">
        <f>O607*$S$3</f>
        <v>0.75</v>
      </c>
      <c r="Q607">
        <f>O607*$S$4</f>
        <v>1</v>
      </c>
    </row>
    <row r="608" spans="1:17">
      <c r="A608" s="2">
        <v>607</v>
      </c>
      <c r="B608" s="4">
        <f>DAY(G608)</f>
        <v>17</v>
      </c>
      <c r="C608">
        <f>MONTH(G608)</f>
        <v>3</v>
      </c>
      <c r="D608">
        <f>YEAR(G608)</f>
        <v>2023</v>
      </c>
      <c r="E608" t="str">
        <f>TEXT(G608,"DDDD")</f>
        <v>Friday</v>
      </c>
      <c r="F608" t="str">
        <f>TEXT(G608,"MMMM")</f>
        <v>March</v>
      </c>
      <c r="G608" s="3">
        <v>45002</v>
      </c>
      <c r="H608" s="4" t="s">
        <v>640</v>
      </c>
      <c r="I608" s="4" t="s">
        <v>4</v>
      </c>
      <c r="J608" s="4" t="str">
        <f>IF(K608&lt;30, "Young Adult","Adult")</f>
        <v>Adult</v>
      </c>
      <c r="K608" s="4">
        <v>54</v>
      </c>
      <c r="L608" s="4" t="s">
        <v>7</v>
      </c>
      <c r="M608" s="4">
        <v>3</v>
      </c>
      <c r="N608" s="5">
        <v>25</v>
      </c>
      <c r="O608">
        <f>(M608*N608)</f>
        <v>75</v>
      </c>
      <c r="P608">
        <f>O608*$S$3</f>
        <v>1.125</v>
      </c>
      <c r="Q608">
        <f>O608*$S$4</f>
        <v>1.5</v>
      </c>
    </row>
    <row r="609" spans="1:17">
      <c r="A609" s="2">
        <v>608</v>
      </c>
      <c r="B609" s="4">
        <f>DAY(G609)</f>
        <v>2</v>
      </c>
      <c r="C609">
        <f>MONTH(G609)</f>
        <v>12</v>
      </c>
      <c r="D609">
        <f>YEAR(G609)</f>
        <v>2023</v>
      </c>
      <c r="E609" t="str">
        <f>TEXT(G609,"DDDD")</f>
        <v>Saturday</v>
      </c>
      <c r="F609" t="str">
        <f>TEXT(G609,"MMMM")</f>
        <v>December</v>
      </c>
      <c r="G609" s="3">
        <v>45262</v>
      </c>
      <c r="H609" s="4" t="s">
        <v>641</v>
      </c>
      <c r="I609" s="4" t="s">
        <v>3</v>
      </c>
      <c r="J609" s="4" t="str">
        <f>IF(K609&lt;30, "Young Adult","Adult")</f>
        <v>Adult</v>
      </c>
      <c r="K609" s="4">
        <v>55</v>
      </c>
      <c r="L609" s="4" t="s">
        <v>8</v>
      </c>
      <c r="M609" s="4">
        <v>3</v>
      </c>
      <c r="N609" s="5">
        <v>500</v>
      </c>
      <c r="O609">
        <f>(M609*N609)</f>
        <v>1500</v>
      </c>
      <c r="P609">
        <f>O609*$S$3</f>
        <v>22.5</v>
      </c>
      <c r="Q609">
        <f>O609*$S$4</f>
        <v>30</v>
      </c>
    </row>
    <row r="610" spans="1:17">
      <c r="A610" s="2">
        <v>609</v>
      </c>
      <c r="B610" s="4">
        <f>DAY(G610)</f>
        <v>19</v>
      </c>
      <c r="C610">
        <f>MONTH(G610)</f>
        <v>12</v>
      </c>
      <c r="D610">
        <f>YEAR(G610)</f>
        <v>2023</v>
      </c>
      <c r="E610" t="str">
        <f>TEXT(G610,"DDDD")</f>
        <v>Tuesday</v>
      </c>
      <c r="F610" t="str">
        <f>TEXT(G610,"MMMM")</f>
        <v>December</v>
      </c>
      <c r="G610" s="3">
        <v>45279</v>
      </c>
      <c r="H610" s="4" t="s">
        <v>642</v>
      </c>
      <c r="I610" s="4" t="s">
        <v>3</v>
      </c>
      <c r="J610" s="4" t="str">
        <f>IF(K610&lt;30, "Young Adult","Adult")</f>
        <v>Adult</v>
      </c>
      <c r="K610" s="4">
        <v>47</v>
      </c>
      <c r="L610" s="4" t="s">
        <v>7</v>
      </c>
      <c r="M610" s="4">
        <v>2</v>
      </c>
      <c r="N610" s="5">
        <v>50</v>
      </c>
      <c r="O610">
        <f>(M610*N610)</f>
        <v>100</v>
      </c>
      <c r="P610">
        <f>O610*$S$3</f>
        <v>1.5</v>
      </c>
      <c r="Q610">
        <f>O610*$S$4</f>
        <v>2</v>
      </c>
    </row>
    <row r="611" spans="1:17">
      <c r="A611" s="2">
        <v>610</v>
      </c>
      <c r="B611" s="4">
        <f>DAY(G611)</f>
        <v>3</v>
      </c>
      <c r="C611">
        <f>MONTH(G611)</f>
        <v>1</v>
      </c>
      <c r="D611">
        <f>YEAR(G611)</f>
        <v>2023</v>
      </c>
      <c r="E611" t="str">
        <f>TEXT(G611,"DDDD")</f>
        <v>Tuesday</v>
      </c>
      <c r="F611" t="str">
        <f>TEXT(G611,"MMMM")</f>
        <v>January</v>
      </c>
      <c r="G611" s="3">
        <v>44929</v>
      </c>
      <c r="H611" s="4" t="s">
        <v>643</v>
      </c>
      <c r="I611" s="4" t="s">
        <v>3</v>
      </c>
      <c r="J611" s="4" t="str">
        <f>IF(K611&lt;30, "Young Adult","Adult")</f>
        <v>Young Adult</v>
      </c>
      <c r="K611" s="4">
        <v>26</v>
      </c>
      <c r="L611" s="4" t="s">
        <v>6</v>
      </c>
      <c r="M611" s="4">
        <v>2</v>
      </c>
      <c r="N611" s="5">
        <v>300</v>
      </c>
      <c r="O611">
        <f>(M611*N611)</f>
        <v>600</v>
      </c>
      <c r="P611">
        <f>O611*$S$3</f>
        <v>9</v>
      </c>
      <c r="Q611">
        <f>O611*$S$4</f>
        <v>12</v>
      </c>
    </row>
    <row r="612" spans="1:17">
      <c r="A612" s="2">
        <v>611</v>
      </c>
      <c r="B612" s="4">
        <f>DAY(G612)</f>
        <v>24</v>
      </c>
      <c r="C612">
        <f>MONTH(G612)</f>
        <v>2</v>
      </c>
      <c r="D612">
        <f>YEAR(G612)</f>
        <v>2023</v>
      </c>
      <c r="E612" t="str">
        <f>TEXT(G612,"DDDD")</f>
        <v>Friday</v>
      </c>
      <c r="F612" t="str">
        <f>TEXT(G612,"MMMM")</f>
        <v>February</v>
      </c>
      <c r="G612" s="3">
        <v>44981</v>
      </c>
      <c r="H612" s="4" t="s">
        <v>644</v>
      </c>
      <c r="I612" s="4" t="s">
        <v>4</v>
      </c>
      <c r="J612" s="4" t="str">
        <f>IF(K612&lt;30, "Young Adult","Adult")</f>
        <v>Adult</v>
      </c>
      <c r="K612" s="4">
        <v>51</v>
      </c>
      <c r="L612" s="4" t="s">
        <v>6</v>
      </c>
      <c r="M612" s="4">
        <v>3</v>
      </c>
      <c r="N612" s="5">
        <v>500</v>
      </c>
      <c r="O612">
        <f>(M612*N612)</f>
        <v>1500</v>
      </c>
      <c r="P612">
        <f>O612*$S$3</f>
        <v>22.5</v>
      </c>
      <c r="Q612">
        <f>O612*$S$4</f>
        <v>30</v>
      </c>
    </row>
    <row r="613" spans="1:17">
      <c r="A613" s="2">
        <v>612</v>
      </c>
      <c r="B613" s="4">
        <f>DAY(G613)</f>
        <v>6</v>
      </c>
      <c r="C613">
        <f>MONTH(G613)</f>
        <v>8</v>
      </c>
      <c r="D613">
        <f>YEAR(G613)</f>
        <v>2023</v>
      </c>
      <c r="E613" t="str">
        <f>TEXT(G613,"DDDD")</f>
        <v>Sunday</v>
      </c>
      <c r="F613" t="str">
        <f>TEXT(G613,"MMMM")</f>
        <v>August</v>
      </c>
      <c r="G613" s="3">
        <v>45144</v>
      </c>
      <c r="H613" s="4" t="s">
        <v>645</v>
      </c>
      <c r="I613" s="4" t="s">
        <v>3</v>
      </c>
      <c r="J613" s="4" t="str">
        <f>IF(K613&lt;30, "Young Adult","Adult")</f>
        <v>Adult</v>
      </c>
      <c r="K613" s="4">
        <v>61</v>
      </c>
      <c r="L613" s="4" t="s">
        <v>8</v>
      </c>
      <c r="M613" s="4">
        <v>1</v>
      </c>
      <c r="N613" s="5">
        <v>500</v>
      </c>
      <c r="O613">
        <f>(M613*N613)</f>
        <v>500</v>
      </c>
      <c r="P613">
        <f>O613*$S$3</f>
        <v>7.5</v>
      </c>
      <c r="Q613">
        <f>O613*$S$4</f>
        <v>10</v>
      </c>
    </row>
    <row r="614" spans="1:17">
      <c r="A614" s="2">
        <v>613</v>
      </c>
      <c r="B614" s="4">
        <f>DAY(G614)</f>
        <v>23</v>
      </c>
      <c r="C614">
        <f>MONTH(G614)</f>
        <v>4</v>
      </c>
      <c r="D614">
        <f>YEAR(G614)</f>
        <v>2023</v>
      </c>
      <c r="E614" t="str">
        <f>TEXT(G614,"DDDD")</f>
        <v>Sunday</v>
      </c>
      <c r="F614" t="str">
        <f>TEXT(G614,"MMMM")</f>
        <v>April</v>
      </c>
      <c r="G614" s="3">
        <v>45039</v>
      </c>
      <c r="H614" s="4" t="s">
        <v>646</v>
      </c>
      <c r="I614" s="4" t="s">
        <v>3</v>
      </c>
      <c r="J614" s="4" t="str">
        <f>IF(K614&lt;30, "Young Adult","Adult")</f>
        <v>Adult</v>
      </c>
      <c r="K614" s="4">
        <v>52</v>
      </c>
      <c r="L614" s="4" t="s">
        <v>7</v>
      </c>
      <c r="M614" s="4">
        <v>3</v>
      </c>
      <c r="N614" s="5">
        <v>30</v>
      </c>
      <c r="O614">
        <f>(M614*N614)</f>
        <v>90</v>
      </c>
      <c r="P614">
        <f>O614*$S$3</f>
        <v>1.3499999999999999</v>
      </c>
      <c r="Q614">
        <f>O614*$S$4</f>
        <v>1.8</v>
      </c>
    </row>
    <row r="615" spans="1:17">
      <c r="A615" s="2">
        <v>614</v>
      </c>
      <c r="B615" s="4">
        <f>DAY(G615)</f>
        <v>1</v>
      </c>
      <c r="C615">
        <f>MONTH(G615)</f>
        <v>4</v>
      </c>
      <c r="D615">
        <f>YEAR(G615)</f>
        <v>2023</v>
      </c>
      <c r="E615" t="str">
        <f>TEXT(G615,"DDDD")</f>
        <v>Saturday</v>
      </c>
      <c r="F615" t="str">
        <f>TEXT(G615,"MMMM")</f>
        <v>April</v>
      </c>
      <c r="G615" s="3">
        <v>45017</v>
      </c>
      <c r="H615" s="4" t="s">
        <v>647</v>
      </c>
      <c r="I615" s="4" t="s">
        <v>3</v>
      </c>
      <c r="J615" s="4" t="str">
        <f>IF(K615&lt;30, "Young Adult","Adult")</f>
        <v>Adult</v>
      </c>
      <c r="K615" s="4">
        <v>39</v>
      </c>
      <c r="L615" s="4" t="s">
        <v>6</v>
      </c>
      <c r="M615" s="4">
        <v>4</v>
      </c>
      <c r="N615" s="5">
        <v>300</v>
      </c>
      <c r="O615">
        <f>(M615*N615)</f>
        <v>1200</v>
      </c>
      <c r="P615">
        <f>O615*$S$3</f>
        <v>18</v>
      </c>
      <c r="Q615">
        <f>O615*$S$4</f>
        <v>24</v>
      </c>
    </row>
    <row r="616" spans="1:17">
      <c r="A616" s="2">
        <v>615</v>
      </c>
      <c r="B616" s="4">
        <f>DAY(G616)</f>
        <v>23</v>
      </c>
      <c r="C616">
        <f>MONTH(G616)</f>
        <v>12</v>
      </c>
      <c r="D616">
        <f>YEAR(G616)</f>
        <v>2023</v>
      </c>
      <c r="E616" t="str">
        <f>TEXT(G616,"DDDD")</f>
        <v>Saturday</v>
      </c>
      <c r="F616" t="str">
        <f>TEXT(G616,"MMMM")</f>
        <v>December</v>
      </c>
      <c r="G616" s="3">
        <v>45283</v>
      </c>
      <c r="H616" s="4" t="s">
        <v>648</v>
      </c>
      <c r="I616" s="4" t="s">
        <v>3</v>
      </c>
      <c r="J616" s="4" t="str">
        <f>IF(K616&lt;30, "Young Adult","Adult")</f>
        <v>Adult</v>
      </c>
      <c r="K616" s="4">
        <v>61</v>
      </c>
      <c r="L616" s="4" t="s">
        <v>7</v>
      </c>
      <c r="M616" s="4">
        <v>4</v>
      </c>
      <c r="N616" s="5">
        <v>25</v>
      </c>
      <c r="O616">
        <f>(M616*N616)</f>
        <v>100</v>
      </c>
      <c r="P616">
        <f>O616*$S$3</f>
        <v>1.5</v>
      </c>
      <c r="Q616">
        <f>O616*$S$4</f>
        <v>2</v>
      </c>
    </row>
    <row r="617" spans="1:17">
      <c r="A617" s="2">
        <v>616</v>
      </c>
      <c r="B617" s="4">
        <f>DAY(G617)</f>
        <v>23</v>
      </c>
      <c r="C617">
        <f>MONTH(G617)</f>
        <v>9</v>
      </c>
      <c r="D617">
        <f>YEAR(G617)</f>
        <v>2023</v>
      </c>
      <c r="E617" t="str">
        <f>TEXT(G617,"DDDD")</f>
        <v>Saturday</v>
      </c>
      <c r="F617" t="str">
        <f>TEXT(G617,"MMMM")</f>
        <v>September</v>
      </c>
      <c r="G617" s="3">
        <v>45192</v>
      </c>
      <c r="H617" s="4" t="s">
        <v>649</v>
      </c>
      <c r="I617" s="4" t="s">
        <v>4</v>
      </c>
      <c r="J617" s="4" t="str">
        <f>IF(K617&lt;30, "Young Adult","Adult")</f>
        <v>Adult</v>
      </c>
      <c r="K617" s="4">
        <v>41</v>
      </c>
      <c r="L617" s="4" t="s">
        <v>7</v>
      </c>
      <c r="M617" s="4">
        <v>2</v>
      </c>
      <c r="N617" s="5">
        <v>50</v>
      </c>
      <c r="O617">
        <f>(M617*N617)</f>
        <v>100</v>
      </c>
      <c r="P617">
        <f>O617*$S$3</f>
        <v>1.5</v>
      </c>
      <c r="Q617">
        <f>O617*$S$4</f>
        <v>2</v>
      </c>
    </row>
    <row r="618" spans="1:17">
      <c r="A618" s="2">
        <v>617</v>
      </c>
      <c r="B618" s="4">
        <f>DAY(G618)</f>
        <v>26</v>
      </c>
      <c r="C618">
        <f>MONTH(G618)</f>
        <v>8</v>
      </c>
      <c r="D618">
        <f>YEAR(G618)</f>
        <v>2023</v>
      </c>
      <c r="E618" t="str">
        <f>TEXT(G618,"DDDD")</f>
        <v>Saturday</v>
      </c>
      <c r="F618" t="str">
        <f>TEXT(G618,"MMMM")</f>
        <v>August</v>
      </c>
      <c r="G618" s="3">
        <v>45164</v>
      </c>
      <c r="H618" s="4" t="s">
        <v>650</v>
      </c>
      <c r="I618" s="4" t="s">
        <v>4</v>
      </c>
      <c r="J618" s="4" t="str">
        <f>IF(K618&lt;30, "Young Adult","Adult")</f>
        <v>Adult</v>
      </c>
      <c r="K618" s="4">
        <v>34</v>
      </c>
      <c r="L618" s="4" t="s">
        <v>8</v>
      </c>
      <c r="M618" s="4">
        <v>1</v>
      </c>
      <c r="N618" s="5">
        <v>30</v>
      </c>
      <c r="O618">
        <f>(M618*N618)</f>
        <v>30</v>
      </c>
      <c r="P618">
        <f>O618*$S$3</f>
        <v>0.44999999999999996</v>
      </c>
      <c r="Q618">
        <f>O618*$S$4</f>
        <v>0.6</v>
      </c>
    </row>
    <row r="619" spans="1:17">
      <c r="A619" s="2">
        <v>618</v>
      </c>
      <c r="B619" s="4">
        <f>DAY(G619)</f>
        <v>26</v>
      </c>
      <c r="C619">
        <f>MONTH(G619)</f>
        <v>1</v>
      </c>
      <c r="D619">
        <f>YEAR(G619)</f>
        <v>2023</v>
      </c>
      <c r="E619" t="str">
        <f>TEXT(G619,"DDDD")</f>
        <v>Thursday</v>
      </c>
      <c r="F619" t="str">
        <f>TEXT(G619,"MMMM")</f>
        <v>January</v>
      </c>
      <c r="G619" s="3">
        <v>44952</v>
      </c>
      <c r="H619" s="4" t="s">
        <v>651</v>
      </c>
      <c r="I619" s="4" t="s">
        <v>3</v>
      </c>
      <c r="J619" s="4" t="str">
        <f>IF(K619&lt;30, "Young Adult","Adult")</f>
        <v>Young Adult</v>
      </c>
      <c r="K619" s="4">
        <v>27</v>
      </c>
      <c r="L619" s="4" t="s">
        <v>6</v>
      </c>
      <c r="M619" s="4">
        <v>1</v>
      </c>
      <c r="N619" s="5">
        <v>50</v>
      </c>
      <c r="O619">
        <f>(M619*N619)</f>
        <v>50</v>
      </c>
      <c r="P619">
        <f>O619*$S$3</f>
        <v>0.75</v>
      </c>
      <c r="Q619">
        <f>O619*$S$4</f>
        <v>1</v>
      </c>
    </row>
    <row r="620" spans="1:17">
      <c r="A620" s="2">
        <v>619</v>
      </c>
      <c r="B620" s="4">
        <f>DAY(G620)</f>
        <v>13</v>
      </c>
      <c r="C620">
        <f>MONTH(G620)</f>
        <v>10</v>
      </c>
      <c r="D620">
        <f>YEAR(G620)</f>
        <v>2023</v>
      </c>
      <c r="E620" t="str">
        <f>TEXT(G620,"DDDD")</f>
        <v>Friday</v>
      </c>
      <c r="F620" t="str">
        <f>TEXT(G620,"MMMM")</f>
        <v>October</v>
      </c>
      <c r="G620" s="3">
        <v>45212</v>
      </c>
      <c r="H620" s="4" t="s">
        <v>652</v>
      </c>
      <c r="I620" s="4" t="s">
        <v>4</v>
      </c>
      <c r="J620" s="4" t="str">
        <f>IF(K620&lt;30, "Young Adult","Adult")</f>
        <v>Adult</v>
      </c>
      <c r="K620" s="4">
        <v>47</v>
      </c>
      <c r="L620" s="4" t="s">
        <v>8</v>
      </c>
      <c r="M620" s="4">
        <v>4</v>
      </c>
      <c r="N620" s="5">
        <v>25</v>
      </c>
      <c r="O620">
        <f>(M620*N620)</f>
        <v>100</v>
      </c>
      <c r="P620">
        <f>O620*$S$3</f>
        <v>1.5</v>
      </c>
      <c r="Q620">
        <f>O620*$S$4</f>
        <v>2</v>
      </c>
    </row>
    <row r="621" spans="1:17">
      <c r="A621" s="2">
        <v>620</v>
      </c>
      <c r="B621" s="4">
        <f>DAY(G621)</f>
        <v>8</v>
      </c>
      <c r="C621">
        <f>MONTH(G621)</f>
        <v>5</v>
      </c>
      <c r="D621">
        <f>YEAR(G621)</f>
        <v>2023</v>
      </c>
      <c r="E621" t="str">
        <f>TEXT(G621,"DDDD")</f>
        <v>Monday</v>
      </c>
      <c r="F621" t="str">
        <f>TEXT(G621,"MMMM")</f>
        <v>May</v>
      </c>
      <c r="G621" s="3">
        <v>45054</v>
      </c>
      <c r="H621" s="4" t="s">
        <v>653</v>
      </c>
      <c r="I621" s="4" t="s">
        <v>4</v>
      </c>
      <c r="J621" s="4" t="str">
        <f>IF(K621&lt;30, "Young Adult","Adult")</f>
        <v>Adult</v>
      </c>
      <c r="K621" s="4">
        <v>63</v>
      </c>
      <c r="L621" s="4" t="s">
        <v>8</v>
      </c>
      <c r="M621" s="4">
        <v>3</v>
      </c>
      <c r="N621" s="5">
        <v>25</v>
      </c>
      <c r="O621">
        <f>(M621*N621)</f>
        <v>75</v>
      </c>
      <c r="P621">
        <f>O621*$S$3</f>
        <v>1.125</v>
      </c>
      <c r="Q621">
        <f>O621*$S$4</f>
        <v>1.5</v>
      </c>
    </row>
    <row r="622" spans="1:17">
      <c r="A622" s="2">
        <v>621</v>
      </c>
      <c r="B622" s="4">
        <f>DAY(G622)</f>
        <v>4</v>
      </c>
      <c r="C622">
        <f>MONTH(G622)</f>
        <v>3</v>
      </c>
      <c r="D622">
        <f>YEAR(G622)</f>
        <v>2023</v>
      </c>
      <c r="E622" t="str">
        <f>TEXT(G622,"DDDD")</f>
        <v>Saturday</v>
      </c>
      <c r="F622" t="str">
        <f>TEXT(G622,"MMMM")</f>
        <v>March</v>
      </c>
      <c r="G622" s="3">
        <v>44989</v>
      </c>
      <c r="H622" s="4" t="s">
        <v>654</v>
      </c>
      <c r="I622" s="4" t="s">
        <v>3</v>
      </c>
      <c r="J622" s="4" t="str">
        <f>IF(K622&lt;30, "Young Adult","Adult")</f>
        <v>Adult</v>
      </c>
      <c r="K622" s="4">
        <v>40</v>
      </c>
      <c r="L622" s="4" t="s">
        <v>6</v>
      </c>
      <c r="M622" s="4">
        <v>2</v>
      </c>
      <c r="N622" s="5">
        <v>500</v>
      </c>
      <c r="O622">
        <f>(M622*N622)</f>
        <v>1000</v>
      </c>
      <c r="P622">
        <f>O622*$S$3</f>
        <v>15</v>
      </c>
      <c r="Q622">
        <f>O622*$S$4</f>
        <v>20</v>
      </c>
    </row>
    <row r="623" spans="1:17">
      <c r="A623" s="2">
        <v>622</v>
      </c>
      <c r="B623" s="4">
        <f>DAY(G623)</f>
        <v>22</v>
      </c>
      <c r="C623">
        <f>MONTH(G623)</f>
        <v>8</v>
      </c>
      <c r="D623">
        <f>YEAR(G623)</f>
        <v>2023</v>
      </c>
      <c r="E623" t="str">
        <f>TEXT(G623,"DDDD")</f>
        <v>Tuesday</v>
      </c>
      <c r="F623" t="str">
        <f>TEXT(G623,"MMMM")</f>
        <v>August</v>
      </c>
      <c r="G623" s="3">
        <v>45160</v>
      </c>
      <c r="H623" s="4" t="s">
        <v>655</v>
      </c>
      <c r="I623" s="4" t="s">
        <v>3</v>
      </c>
      <c r="J623" s="4" t="str">
        <f>IF(K623&lt;30, "Young Adult","Adult")</f>
        <v>Adult</v>
      </c>
      <c r="K623" s="4">
        <v>49</v>
      </c>
      <c r="L623" s="4" t="s">
        <v>6</v>
      </c>
      <c r="M623" s="4">
        <v>3</v>
      </c>
      <c r="N623" s="5">
        <v>25</v>
      </c>
      <c r="O623">
        <f>(M623*N623)</f>
        <v>75</v>
      </c>
      <c r="P623">
        <f>O623*$S$3</f>
        <v>1.125</v>
      </c>
      <c r="Q623">
        <f>O623*$S$4</f>
        <v>1.5</v>
      </c>
    </row>
    <row r="624" spans="1:17">
      <c r="A624" s="2">
        <v>623</v>
      </c>
      <c r="B624" s="4">
        <f>DAY(G624)</f>
        <v>10</v>
      </c>
      <c r="C624">
        <f>MONTH(G624)</f>
        <v>3</v>
      </c>
      <c r="D624">
        <f>YEAR(G624)</f>
        <v>2023</v>
      </c>
      <c r="E624" t="str">
        <f>TEXT(G624,"DDDD")</f>
        <v>Friday</v>
      </c>
      <c r="F624" t="str">
        <f>TEXT(G624,"MMMM")</f>
        <v>March</v>
      </c>
      <c r="G624" s="3">
        <v>44995</v>
      </c>
      <c r="H624" s="4" t="s">
        <v>656</v>
      </c>
      <c r="I624" s="4" t="s">
        <v>4</v>
      </c>
      <c r="J624" s="4" t="str">
        <f>IF(K624&lt;30, "Young Adult","Adult")</f>
        <v>Adult</v>
      </c>
      <c r="K624" s="4">
        <v>34</v>
      </c>
      <c r="L624" s="4" t="s">
        <v>7</v>
      </c>
      <c r="M624" s="4">
        <v>3</v>
      </c>
      <c r="N624" s="5">
        <v>50</v>
      </c>
      <c r="O624">
        <f>(M624*N624)</f>
        <v>150</v>
      </c>
      <c r="P624">
        <f>O624*$S$3</f>
        <v>2.25</v>
      </c>
      <c r="Q624">
        <f>O624*$S$4</f>
        <v>3</v>
      </c>
    </row>
    <row r="625" spans="1:17">
      <c r="A625" s="2">
        <v>624</v>
      </c>
      <c r="B625" s="4">
        <f>DAY(G625)</f>
        <v>26</v>
      </c>
      <c r="C625">
        <f>MONTH(G625)</f>
        <v>8</v>
      </c>
      <c r="D625">
        <f>YEAR(G625)</f>
        <v>2023</v>
      </c>
      <c r="E625" t="str">
        <f>TEXT(G625,"DDDD")</f>
        <v>Saturday</v>
      </c>
      <c r="F625" t="str">
        <f>TEXT(G625,"MMMM")</f>
        <v>August</v>
      </c>
      <c r="G625" s="3">
        <v>45164</v>
      </c>
      <c r="H625" s="4" t="s">
        <v>657</v>
      </c>
      <c r="I625" s="4" t="s">
        <v>3</v>
      </c>
      <c r="J625" s="4" t="str">
        <f>IF(K625&lt;30, "Young Adult","Adult")</f>
        <v>Adult</v>
      </c>
      <c r="K625" s="4">
        <v>34</v>
      </c>
      <c r="L625" s="4" t="s">
        <v>6</v>
      </c>
      <c r="M625" s="4">
        <v>3</v>
      </c>
      <c r="N625" s="5">
        <v>300</v>
      </c>
      <c r="O625">
        <f>(M625*N625)</f>
        <v>900</v>
      </c>
      <c r="P625">
        <f>O625*$S$3</f>
        <v>13.5</v>
      </c>
      <c r="Q625">
        <f>O625*$S$4</f>
        <v>18</v>
      </c>
    </row>
    <row r="626" spans="1:17">
      <c r="A626" s="2">
        <v>625</v>
      </c>
      <c r="B626" s="4">
        <f>DAY(G626)</f>
        <v>8</v>
      </c>
      <c r="C626">
        <f>MONTH(G626)</f>
        <v>12</v>
      </c>
      <c r="D626">
        <f>YEAR(G626)</f>
        <v>2023</v>
      </c>
      <c r="E626" t="str">
        <f>TEXT(G626,"DDDD")</f>
        <v>Friday</v>
      </c>
      <c r="F626" t="str">
        <f>TEXT(G626,"MMMM")</f>
        <v>December</v>
      </c>
      <c r="G626" s="3">
        <v>45268</v>
      </c>
      <c r="H626" s="4" t="s">
        <v>658</v>
      </c>
      <c r="I626" s="4" t="s">
        <v>4</v>
      </c>
      <c r="J626" s="4" t="str">
        <f>IF(K626&lt;30, "Young Adult","Adult")</f>
        <v>Adult</v>
      </c>
      <c r="K626" s="4">
        <v>31</v>
      </c>
      <c r="L626" s="4" t="s">
        <v>7</v>
      </c>
      <c r="M626" s="4">
        <v>1</v>
      </c>
      <c r="N626" s="5">
        <v>300</v>
      </c>
      <c r="O626">
        <f>(M626*N626)</f>
        <v>300</v>
      </c>
      <c r="P626">
        <f>O626*$S$3</f>
        <v>4.5</v>
      </c>
      <c r="Q626">
        <f>O626*$S$4</f>
        <v>6</v>
      </c>
    </row>
    <row r="627" spans="1:17">
      <c r="A627" s="2">
        <v>626</v>
      </c>
      <c r="B627" s="4">
        <f>DAY(G627)</f>
        <v>29</v>
      </c>
      <c r="C627">
        <f>MONTH(G627)</f>
        <v>9</v>
      </c>
      <c r="D627">
        <f>YEAR(G627)</f>
        <v>2023</v>
      </c>
      <c r="E627" t="str">
        <f>TEXT(G627,"DDDD")</f>
        <v>Friday</v>
      </c>
      <c r="F627" t="str">
        <f>TEXT(G627,"MMMM")</f>
        <v>September</v>
      </c>
      <c r="G627" s="3">
        <v>45198</v>
      </c>
      <c r="H627" s="4" t="s">
        <v>659</v>
      </c>
      <c r="I627" s="4" t="s">
        <v>3</v>
      </c>
      <c r="J627" s="4" t="str">
        <f>IF(K627&lt;30, "Young Adult","Adult")</f>
        <v>Young Adult</v>
      </c>
      <c r="K627" s="4">
        <v>26</v>
      </c>
      <c r="L627" s="4" t="s">
        <v>7</v>
      </c>
      <c r="M627" s="4">
        <v>4</v>
      </c>
      <c r="N627" s="5">
        <v>500</v>
      </c>
      <c r="O627">
        <f>(M627*N627)</f>
        <v>2000</v>
      </c>
      <c r="P627">
        <f>O627*$S$3</f>
        <v>30</v>
      </c>
      <c r="Q627">
        <f>O627*$S$4</f>
        <v>40</v>
      </c>
    </row>
    <row r="628" spans="1:17">
      <c r="A628" s="2">
        <v>627</v>
      </c>
      <c r="B628" s="4">
        <f>DAY(G628)</f>
        <v>14</v>
      </c>
      <c r="C628">
        <f>MONTH(G628)</f>
        <v>10</v>
      </c>
      <c r="D628">
        <f>YEAR(G628)</f>
        <v>2023</v>
      </c>
      <c r="E628" t="str">
        <f>TEXT(G628,"DDDD")</f>
        <v>Saturday</v>
      </c>
      <c r="F628" t="str">
        <f>TEXT(G628,"MMMM")</f>
        <v>October</v>
      </c>
      <c r="G628" s="3">
        <v>45213</v>
      </c>
      <c r="H628" s="4" t="s">
        <v>660</v>
      </c>
      <c r="I628" s="4" t="s">
        <v>4</v>
      </c>
      <c r="J628" s="4" t="str">
        <f>IF(K628&lt;30, "Young Adult","Adult")</f>
        <v>Adult</v>
      </c>
      <c r="K628" s="4">
        <v>57</v>
      </c>
      <c r="L628" s="4" t="s">
        <v>7</v>
      </c>
      <c r="M628" s="4">
        <v>1</v>
      </c>
      <c r="N628" s="5">
        <v>50</v>
      </c>
      <c r="O628">
        <f>(M628*N628)</f>
        <v>50</v>
      </c>
      <c r="P628">
        <f>O628*$S$3</f>
        <v>0.75</v>
      </c>
      <c r="Q628">
        <f>O628*$S$4</f>
        <v>1</v>
      </c>
    </row>
    <row r="629" spans="1:17">
      <c r="A629" s="2">
        <v>628</v>
      </c>
      <c r="B629" s="4">
        <f>DAY(G629)</f>
        <v>1</v>
      </c>
      <c r="C629">
        <f>MONTH(G629)</f>
        <v>11</v>
      </c>
      <c r="D629">
        <f>YEAR(G629)</f>
        <v>2023</v>
      </c>
      <c r="E629" t="str">
        <f>TEXT(G629,"DDDD")</f>
        <v>Wednesday</v>
      </c>
      <c r="F629" t="str">
        <f>TEXT(G629,"MMMM")</f>
        <v>November</v>
      </c>
      <c r="G629" s="3">
        <v>45231</v>
      </c>
      <c r="H629" s="4" t="s">
        <v>661</v>
      </c>
      <c r="I629" s="4" t="s">
        <v>3</v>
      </c>
      <c r="J629" s="4" t="str">
        <f>IF(K629&lt;30, "Young Adult","Adult")</f>
        <v>Young Adult</v>
      </c>
      <c r="K629" s="4">
        <v>19</v>
      </c>
      <c r="L629" s="4" t="s">
        <v>6</v>
      </c>
      <c r="M629" s="4">
        <v>4</v>
      </c>
      <c r="N629" s="5">
        <v>50</v>
      </c>
      <c r="O629">
        <f>(M629*N629)</f>
        <v>200</v>
      </c>
      <c r="P629">
        <f>O629*$S$3</f>
        <v>3</v>
      </c>
      <c r="Q629">
        <f>O629*$S$4</f>
        <v>4</v>
      </c>
    </row>
    <row r="630" spans="1:17">
      <c r="A630" s="2">
        <v>629</v>
      </c>
      <c r="B630" s="4">
        <f>DAY(G630)</f>
        <v>12</v>
      </c>
      <c r="C630">
        <f>MONTH(G630)</f>
        <v>6</v>
      </c>
      <c r="D630">
        <f>YEAR(G630)</f>
        <v>2023</v>
      </c>
      <c r="E630" t="str">
        <f>TEXT(G630,"DDDD")</f>
        <v>Monday</v>
      </c>
      <c r="F630" t="str">
        <f>TEXT(G630,"MMMM")</f>
        <v>June</v>
      </c>
      <c r="G630" s="3">
        <v>45089</v>
      </c>
      <c r="H630" s="4" t="s">
        <v>662</v>
      </c>
      <c r="I630" s="4" t="s">
        <v>4</v>
      </c>
      <c r="J630" s="4" t="str">
        <f>IF(K630&lt;30, "Young Adult","Adult")</f>
        <v>Adult</v>
      </c>
      <c r="K630" s="4">
        <v>62</v>
      </c>
      <c r="L630" s="4" t="s">
        <v>8</v>
      </c>
      <c r="M630" s="4">
        <v>2</v>
      </c>
      <c r="N630" s="5">
        <v>25</v>
      </c>
      <c r="O630">
        <f>(M630*N630)</f>
        <v>50</v>
      </c>
      <c r="P630">
        <f>O630*$S$3</f>
        <v>0.75</v>
      </c>
      <c r="Q630">
        <f>O630*$S$4</f>
        <v>1</v>
      </c>
    </row>
    <row r="631" spans="1:17">
      <c r="A631" s="2">
        <v>630</v>
      </c>
      <c r="B631" s="4">
        <f>DAY(G631)</f>
        <v>15</v>
      </c>
      <c r="C631">
        <f>MONTH(G631)</f>
        <v>8</v>
      </c>
      <c r="D631">
        <f>YEAR(G631)</f>
        <v>2023</v>
      </c>
      <c r="E631" t="str">
        <f>TEXT(G631,"DDDD")</f>
        <v>Tuesday</v>
      </c>
      <c r="F631" t="str">
        <f>TEXT(G631,"MMMM")</f>
        <v>August</v>
      </c>
      <c r="G631" s="3">
        <v>45153</v>
      </c>
      <c r="H631" s="4" t="s">
        <v>663</v>
      </c>
      <c r="I631" s="4" t="s">
        <v>4</v>
      </c>
      <c r="J631" s="4" t="str">
        <f>IF(K631&lt;30, "Young Adult","Adult")</f>
        <v>Adult</v>
      </c>
      <c r="K631" s="4">
        <v>42</v>
      </c>
      <c r="L631" s="4" t="s">
        <v>7</v>
      </c>
      <c r="M631" s="4">
        <v>2</v>
      </c>
      <c r="N631" s="5">
        <v>50</v>
      </c>
      <c r="O631">
        <f>(M631*N631)</f>
        <v>100</v>
      </c>
      <c r="P631">
        <f>O631*$S$3</f>
        <v>1.5</v>
      </c>
      <c r="Q631">
        <f>O631*$S$4</f>
        <v>2</v>
      </c>
    </row>
    <row r="632" spans="1:17">
      <c r="A632" s="2">
        <v>631</v>
      </c>
      <c r="B632" s="4">
        <f>DAY(G632)</f>
        <v>10</v>
      </c>
      <c r="C632">
        <f>MONTH(G632)</f>
        <v>11</v>
      </c>
      <c r="D632">
        <f>YEAR(G632)</f>
        <v>2023</v>
      </c>
      <c r="E632" t="str">
        <f>TEXT(G632,"DDDD")</f>
        <v>Friday</v>
      </c>
      <c r="F632" t="str">
        <f>TEXT(G632,"MMMM")</f>
        <v>November</v>
      </c>
      <c r="G632" s="3">
        <v>45240</v>
      </c>
      <c r="H632" s="4" t="s">
        <v>664</v>
      </c>
      <c r="I632" s="4" t="s">
        <v>4</v>
      </c>
      <c r="J632" s="4" t="str">
        <f>IF(K632&lt;30, "Young Adult","Adult")</f>
        <v>Adult</v>
      </c>
      <c r="K632" s="4">
        <v>56</v>
      </c>
      <c r="L632" s="4" t="s">
        <v>8</v>
      </c>
      <c r="M632" s="4">
        <v>3</v>
      </c>
      <c r="N632" s="5">
        <v>30</v>
      </c>
      <c r="O632">
        <f>(M632*N632)</f>
        <v>90</v>
      </c>
      <c r="P632">
        <f>O632*$S$3</f>
        <v>1.3499999999999999</v>
      </c>
      <c r="Q632">
        <f>O632*$S$4</f>
        <v>1.8</v>
      </c>
    </row>
    <row r="633" spans="1:17">
      <c r="A633" s="2">
        <v>632</v>
      </c>
      <c r="B633" s="4">
        <f>DAY(G633)</f>
        <v>16</v>
      </c>
      <c r="C633">
        <f>MONTH(G633)</f>
        <v>9</v>
      </c>
      <c r="D633">
        <f>YEAR(G633)</f>
        <v>2023</v>
      </c>
      <c r="E633" t="str">
        <f>TEXT(G633,"DDDD")</f>
        <v>Saturday</v>
      </c>
      <c r="F633" t="str">
        <f>TEXT(G633,"MMMM")</f>
        <v>September</v>
      </c>
      <c r="G633" s="3">
        <v>45185</v>
      </c>
      <c r="H633" s="4" t="s">
        <v>665</v>
      </c>
      <c r="I633" s="4" t="s">
        <v>3</v>
      </c>
      <c r="J633" s="4" t="str">
        <f>IF(K633&lt;30, "Young Adult","Adult")</f>
        <v>Young Adult</v>
      </c>
      <c r="K633" s="4">
        <v>26</v>
      </c>
      <c r="L633" s="4" t="s">
        <v>8</v>
      </c>
      <c r="M633" s="4">
        <v>4</v>
      </c>
      <c r="N633" s="5">
        <v>25</v>
      </c>
      <c r="O633">
        <f>(M633*N633)</f>
        <v>100</v>
      </c>
      <c r="P633">
        <f>O633*$S$3</f>
        <v>1.5</v>
      </c>
      <c r="Q633">
        <f>O633*$S$4</f>
        <v>2</v>
      </c>
    </row>
    <row r="634" spans="1:17">
      <c r="A634" s="2">
        <v>633</v>
      </c>
      <c r="B634" s="4">
        <f>DAY(G634)</f>
        <v>7</v>
      </c>
      <c r="C634">
        <f>MONTH(G634)</f>
        <v>8</v>
      </c>
      <c r="D634">
        <f>YEAR(G634)</f>
        <v>2023</v>
      </c>
      <c r="E634" t="str">
        <f>TEXT(G634,"DDDD")</f>
        <v>Monday</v>
      </c>
      <c r="F634" t="str">
        <f>TEXT(G634,"MMMM")</f>
        <v>August</v>
      </c>
      <c r="G634" s="3">
        <v>45145</v>
      </c>
      <c r="H634" s="4" t="s">
        <v>666</v>
      </c>
      <c r="I634" s="4" t="s">
        <v>4</v>
      </c>
      <c r="J634" s="4" t="str">
        <f>IF(K634&lt;30, "Young Adult","Adult")</f>
        <v>Adult</v>
      </c>
      <c r="K634" s="4">
        <v>39</v>
      </c>
      <c r="L634" s="4" t="s">
        <v>6</v>
      </c>
      <c r="M634" s="4">
        <v>4</v>
      </c>
      <c r="N634" s="5">
        <v>30</v>
      </c>
      <c r="O634">
        <f>(M634*N634)</f>
        <v>120</v>
      </c>
      <c r="P634">
        <f>O634*$S$3</f>
        <v>1.7999999999999998</v>
      </c>
      <c r="Q634">
        <f>O634*$S$4</f>
        <v>2.4</v>
      </c>
    </row>
    <row r="635" spans="1:17">
      <c r="A635" s="2">
        <v>634</v>
      </c>
      <c r="B635" s="4">
        <f>DAY(G635)</f>
        <v>8</v>
      </c>
      <c r="C635">
        <f>MONTH(G635)</f>
        <v>10</v>
      </c>
      <c r="D635">
        <f>YEAR(G635)</f>
        <v>2023</v>
      </c>
      <c r="E635" t="str">
        <f>TEXT(G635,"DDDD")</f>
        <v>Sunday</v>
      </c>
      <c r="F635" t="str">
        <f>TEXT(G635,"MMMM")</f>
        <v>October</v>
      </c>
      <c r="G635" s="3">
        <v>45207</v>
      </c>
      <c r="H635" s="4" t="s">
        <v>667</v>
      </c>
      <c r="I635" s="4" t="s">
        <v>4</v>
      </c>
      <c r="J635" s="4" t="str">
        <f>IF(K635&lt;30, "Young Adult","Adult")</f>
        <v>Adult</v>
      </c>
      <c r="K635" s="4">
        <v>60</v>
      </c>
      <c r="L635" s="4" t="s">
        <v>8</v>
      </c>
      <c r="M635" s="4">
        <v>4</v>
      </c>
      <c r="N635" s="5">
        <v>500</v>
      </c>
      <c r="O635">
        <f>(M635*N635)</f>
        <v>2000</v>
      </c>
      <c r="P635">
        <f>O635*$S$3</f>
        <v>30</v>
      </c>
      <c r="Q635">
        <f>O635*$S$4</f>
        <v>40</v>
      </c>
    </row>
    <row r="636" spans="1:17">
      <c r="A636" s="2">
        <v>635</v>
      </c>
      <c r="B636" s="4">
        <f>DAY(G636)</f>
        <v>17</v>
      </c>
      <c r="C636">
        <f>MONTH(G636)</f>
        <v>8</v>
      </c>
      <c r="D636">
        <f>YEAR(G636)</f>
        <v>2023</v>
      </c>
      <c r="E636" t="str">
        <f>TEXT(G636,"DDDD")</f>
        <v>Thursday</v>
      </c>
      <c r="F636" t="str">
        <f>TEXT(G636,"MMMM")</f>
        <v>August</v>
      </c>
      <c r="G636" s="3">
        <v>45155</v>
      </c>
      <c r="H636" s="4" t="s">
        <v>668</v>
      </c>
      <c r="I636" s="4" t="s">
        <v>3</v>
      </c>
      <c r="J636" s="4" t="str">
        <f>IF(K636&lt;30, "Young Adult","Adult")</f>
        <v>Adult</v>
      </c>
      <c r="K636" s="4">
        <v>63</v>
      </c>
      <c r="L636" s="4" t="s">
        <v>8</v>
      </c>
      <c r="M636" s="4">
        <v>3</v>
      </c>
      <c r="N636" s="5">
        <v>300</v>
      </c>
      <c r="O636">
        <f>(M636*N636)</f>
        <v>900</v>
      </c>
      <c r="P636">
        <f>O636*$S$3</f>
        <v>13.5</v>
      </c>
      <c r="Q636">
        <f>O636*$S$4</f>
        <v>18</v>
      </c>
    </row>
    <row r="637" spans="1:17">
      <c r="A637" s="2">
        <v>636</v>
      </c>
      <c r="B637" s="4">
        <f>DAY(G637)</f>
        <v>23</v>
      </c>
      <c r="C637">
        <f>MONTH(G637)</f>
        <v>3</v>
      </c>
      <c r="D637">
        <f>YEAR(G637)</f>
        <v>2023</v>
      </c>
      <c r="E637" t="str">
        <f>TEXT(G637,"DDDD")</f>
        <v>Thursday</v>
      </c>
      <c r="F637" t="str">
        <f>TEXT(G637,"MMMM")</f>
        <v>March</v>
      </c>
      <c r="G637" s="3">
        <v>45008</v>
      </c>
      <c r="H637" s="4" t="s">
        <v>669</v>
      </c>
      <c r="I637" s="4" t="s">
        <v>3</v>
      </c>
      <c r="J637" s="4" t="str">
        <f>IF(K637&lt;30, "Young Adult","Adult")</f>
        <v>Young Adult</v>
      </c>
      <c r="K637" s="4">
        <v>21</v>
      </c>
      <c r="L637" s="4" t="s">
        <v>6</v>
      </c>
      <c r="M637" s="4">
        <v>3</v>
      </c>
      <c r="N637" s="5">
        <v>500</v>
      </c>
      <c r="O637">
        <f>(M637*N637)</f>
        <v>1500</v>
      </c>
      <c r="P637">
        <f>O637*$S$3</f>
        <v>22.5</v>
      </c>
      <c r="Q637">
        <f>O637*$S$4</f>
        <v>30</v>
      </c>
    </row>
    <row r="638" spans="1:17">
      <c r="A638" s="2">
        <v>637</v>
      </c>
      <c r="B638" s="4">
        <f>DAY(G638)</f>
        <v>1</v>
      </c>
      <c r="C638">
        <f>MONTH(G638)</f>
        <v>9</v>
      </c>
      <c r="D638">
        <f>YEAR(G638)</f>
        <v>2023</v>
      </c>
      <c r="E638" t="str">
        <f>TEXT(G638,"DDDD")</f>
        <v>Friday</v>
      </c>
      <c r="F638" t="str">
        <f>TEXT(G638,"MMMM")</f>
        <v>September</v>
      </c>
      <c r="G638" s="3">
        <v>45170</v>
      </c>
      <c r="H638" s="4" t="s">
        <v>670</v>
      </c>
      <c r="I638" s="4" t="s">
        <v>4</v>
      </c>
      <c r="J638" s="4" t="str">
        <f>IF(K638&lt;30, "Young Adult","Adult")</f>
        <v>Adult</v>
      </c>
      <c r="K638" s="4">
        <v>43</v>
      </c>
      <c r="L638" s="4" t="s">
        <v>7</v>
      </c>
      <c r="M638" s="4">
        <v>2</v>
      </c>
      <c r="N638" s="5">
        <v>300</v>
      </c>
      <c r="O638">
        <f>(M638*N638)</f>
        <v>600</v>
      </c>
      <c r="P638">
        <f>O638*$S$3</f>
        <v>9</v>
      </c>
      <c r="Q638">
        <f>O638*$S$4</f>
        <v>12</v>
      </c>
    </row>
    <row r="639" spans="1:17">
      <c r="A639" s="2">
        <v>638</v>
      </c>
      <c r="B639" s="4">
        <f>DAY(G639)</f>
        <v>19</v>
      </c>
      <c r="C639">
        <f>MONTH(G639)</f>
        <v>8</v>
      </c>
      <c r="D639">
        <f>YEAR(G639)</f>
        <v>2023</v>
      </c>
      <c r="E639" t="str">
        <f>TEXT(G639,"DDDD")</f>
        <v>Saturday</v>
      </c>
      <c r="F639" t="str">
        <f>TEXT(G639,"MMMM")</f>
        <v>August</v>
      </c>
      <c r="G639" s="3">
        <v>45157</v>
      </c>
      <c r="H639" s="4" t="s">
        <v>671</v>
      </c>
      <c r="I639" s="4" t="s">
        <v>4</v>
      </c>
      <c r="J639" s="4" t="str">
        <f>IF(K639&lt;30, "Young Adult","Adult")</f>
        <v>Adult</v>
      </c>
      <c r="K639" s="4">
        <v>46</v>
      </c>
      <c r="L639" s="4" t="s">
        <v>8</v>
      </c>
      <c r="M639" s="4">
        <v>1</v>
      </c>
      <c r="N639" s="5">
        <v>500</v>
      </c>
      <c r="O639">
        <f>(M639*N639)</f>
        <v>500</v>
      </c>
      <c r="P639">
        <f>O639*$S$3</f>
        <v>7.5</v>
      </c>
      <c r="Q639">
        <f>O639*$S$4</f>
        <v>10</v>
      </c>
    </row>
    <row r="640" spans="1:17">
      <c r="A640" s="2">
        <v>639</v>
      </c>
      <c r="B640" s="4">
        <f>DAY(G640)</f>
        <v>13</v>
      </c>
      <c r="C640">
        <f>MONTH(G640)</f>
        <v>5</v>
      </c>
      <c r="D640">
        <f>YEAR(G640)</f>
        <v>2023</v>
      </c>
      <c r="E640" t="str">
        <f>TEXT(G640,"DDDD")</f>
        <v>Saturday</v>
      </c>
      <c r="F640" t="str">
        <f>TEXT(G640,"MMMM")</f>
        <v>May</v>
      </c>
      <c r="G640" s="3">
        <v>45059</v>
      </c>
      <c r="H640" s="4" t="s">
        <v>672</v>
      </c>
      <c r="I640" s="4" t="s">
        <v>3</v>
      </c>
      <c r="J640" s="4" t="str">
        <f>IF(K640&lt;30, "Young Adult","Adult")</f>
        <v>Adult</v>
      </c>
      <c r="K640" s="4">
        <v>62</v>
      </c>
      <c r="L640" s="4" t="s">
        <v>6</v>
      </c>
      <c r="M640" s="4">
        <v>4</v>
      </c>
      <c r="N640" s="5">
        <v>50</v>
      </c>
      <c r="O640">
        <f>(M640*N640)</f>
        <v>200</v>
      </c>
      <c r="P640">
        <f>O640*$S$3</f>
        <v>3</v>
      </c>
      <c r="Q640">
        <f>O640*$S$4</f>
        <v>4</v>
      </c>
    </row>
    <row r="641" spans="1:17">
      <c r="A641" s="2">
        <v>640</v>
      </c>
      <c r="B641" s="4">
        <f>DAY(G641)</f>
        <v>7</v>
      </c>
      <c r="C641">
        <f>MONTH(G641)</f>
        <v>5</v>
      </c>
      <c r="D641">
        <f>YEAR(G641)</f>
        <v>2023</v>
      </c>
      <c r="E641" t="str">
        <f>TEXT(G641,"DDDD")</f>
        <v>Sunday</v>
      </c>
      <c r="F641" t="str">
        <f>TEXT(G641,"MMMM")</f>
        <v>May</v>
      </c>
      <c r="G641" s="3">
        <v>45053</v>
      </c>
      <c r="H641" s="4" t="s">
        <v>673</v>
      </c>
      <c r="I641" s="4" t="s">
        <v>3</v>
      </c>
      <c r="J641" s="4" t="str">
        <f>IF(K641&lt;30, "Young Adult","Adult")</f>
        <v>Adult</v>
      </c>
      <c r="K641" s="4">
        <v>51</v>
      </c>
      <c r="L641" s="4" t="s">
        <v>8</v>
      </c>
      <c r="M641" s="4">
        <v>4</v>
      </c>
      <c r="N641" s="5">
        <v>30</v>
      </c>
      <c r="O641">
        <f>(M641*N641)</f>
        <v>120</v>
      </c>
      <c r="P641">
        <f>O641*$S$3</f>
        <v>1.7999999999999998</v>
      </c>
      <c r="Q641">
        <f>O641*$S$4</f>
        <v>2.4</v>
      </c>
    </row>
    <row r="642" spans="1:17">
      <c r="A642" s="2">
        <v>641</v>
      </c>
      <c r="B642" s="4">
        <f>DAY(G642)</f>
        <v>23</v>
      </c>
      <c r="C642">
        <f>MONTH(G642)</f>
        <v>11</v>
      </c>
      <c r="D642">
        <f>YEAR(G642)</f>
        <v>2023</v>
      </c>
      <c r="E642" t="str">
        <f>TEXT(G642,"DDDD")</f>
        <v>Thursday</v>
      </c>
      <c r="F642" t="str">
        <f>TEXT(G642,"MMMM")</f>
        <v>November</v>
      </c>
      <c r="G642" s="3">
        <v>45253</v>
      </c>
      <c r="H642" s="4" t="s">
        <v>674</v>
      </c>
      <c r="I642" s="4" t="s">
        <v>3</v>
      </c>
      <c r="J642" s="4" t="str">
        <f>IF(K642&lt;30, "Young Adult","Adult")</f>
        <v>Adult</v>
      </c>
      <c r="K642" s="4">
        <v>40</v>
      </c>
      <c r="L642" s="4" t="s">
        <v>8</v>
      </c>
      <c r="M642" s="4">
        <v>1</v>
      </c>
      <c r="N642" s="5">
        <v>300</v>
      </c>
      <c r="O642">
        <f>(M642*N642)</f>
        <v>300</v>
      </c>
      <c r="P642">
        <f>O642*$S$3</f>
        <v>4.5</v>
      </c>
      <c r="Q642">
        <f>O642*$S$4</f>
        <v>6</v>
      </c>
    </row>
    <row r="643" spans="1:17">
      <c r="A643" s="2">
        <v>642</v>
      </c>
      <c r="B643" s="4">
        <f>DAY(G643)</f>
        <v>22</v>
      </c>
      <c r="C643">
        <f>MONTH(G643)</f>
        <v>5</v>
      </c>
      <c r="D643">
        <f>YEAR(G643)</f>
        <v>2023</v>
      </c>
      <c r="E643" t="str">
        <f>TEXT(G643,"DDDD")</f>
        <v>Monday</v>
      </c>
      <c r="F643" t="str">
        <f>TEXT(G643,"MMMM")</f>
        <v>May</v>
      </c>
      <c r="G643" s="3">
        <v>45068</v>
      </c>
      <c r="H643" s="4" t="s">
        <v>675</v>
      </c>
      <c r="I643" s="4" t="s">
        <v>3</v>
      </c>
      <c r="J643" s="4" t="str">
        <f>IF(K643&lt;30, "Young Adult","Adult")</f>
        <v>Adult</v>
      </c>
      <c r="K643" s="4">
        <v>54</v>
      </c>
      <c r="L643" s="4" t="s">
        <v>7</v>
      </c>
      <c r="M643" s="4">
        <v>4</v>
      </c>
      <c r="N643" s="5">
        <v>25</v>
      </c>
      <c r="O643">
        <f>(M643*N643)</f>
        <v>100</v>
      </c>
      <c r="P643">
        <f>O643*$S$3</f>
        <v>1.5</v>
      </c>
      <c r="Q643">
        <f>O643*$S$4</f>
        <v>2</v>
      </c>
    </row>
    <row r="644" spans="1:17">
      <c r="A644" s="2">
        <v>643</v>
      </c>
      <c r="B644" s="4">
        <f>DAY(G644)</f>
        <v>24</v>
      </c>
      <c r="C644">
        <f>MONTH(G644)</f>
        <v>9</v>
      </c>
      <c r="D644">
        <f>YEAR(G644)</f>
        <v>2023</v>
      </c>
      <c r="E644" t="str">
        <f>TEXT(G644,"DDDD")</f>
        <v>Sunday</v>
      </c>
      <c r="F644" t="str">
        <f>TEXT(G644,"MMMM")</f>
        <v>September</v>
      </c>
      <c r="G644" s="3">
        <v>45193</v>
      </c>
      <c r="H644" s="4" t="s">
        <v>676</v>
      </c>
      <c r="I644" s="4" t="s">
        <v>3</v>
      </c>
      <c r="J644" s="4" t="str">
        <f>IF(K644&lt;30, "Young Adult","Adult")</f>
        <v>Young Adult</v>
      </c>
      <c r="K644" s="4">
        <v>28</v>
      </c>
      <c r="L644" s="4" t="s">
        <v>8</v>
      </c>
      <c r="M644" s="4">
        <v>3</v>
      </c>
      <c r="N644" s="5">
        <v>30</v>
      </c>
      <c r="O644">
        <f>(M644*N644)</f>
        <v>90</v>
      </c>
      <c r="P644">
        <f>O644*$S$3</f>
        <v>1.3499999999999999</v>
      </c>
      <c r="Q644">
        <f>O644*$S$4</f>
        <v>1.8</v>
      </c>
    </row>
    <row r="645" spans="1:17">
      <c r="A645" s="2">
        <v>644</v>
      </c>
      <c r="B645" s="4">
        <f>DAY(G645)</f>
        <v>6</v>
      </c>
      <c r="C645">
        <f>MONTH(G645)</f>
        <v>9</v>
      </c>
      <c r="D645">
        <f>YEAR(G645)</f>
        <v>2023</v>
      </c>
      <c r="E645" t="str">
        <f>TEXT(G645,"DDDD")</f>
        <v>Wednesday</v>
      </c>
      <c r="F645" t="str">
        <f>TEXT(G645,"MMMM")</f>
        <v>September</v>
      </c>
      <c r="G645" s="3">
        <v>45175</v>
      </c>
      <c r="H645" s="4" t="s">
        <v>677</v>
      </c>
      <c r="I645" s="4" t="s">
        <v>4</v>
      </c>
      <c r="J645" s="4" t="str">
        <f>IF(K645&lt;30, "Young Adult","Adult")</f>
        <v>Young Adult</v>
      </c>
      <c r="K645" s="4">
        <v>23</v>
      </c>
      <c r="L645" s="4" t="s">
        <v>6</v>
      </c>
      <c r="M645" s="4">
        <v>3</v>
      </c>
      <c r="N645" s="5">
        <v>25</v>
      </c>
      <c r="O645">
        <f>(M645*N645)</f>
        <v>75</v>
      </c>
      <c r="P645">
        <f>O645*$S$3</f>
        <v>1.125</v>
      </c>
      <c r="Q645">
        <f>O645*$S$4</f>
        <v>1.5</v>
      </c>
    </row>
    <row r="646" spans="1:17">
      <c r="A646" s="2">
        <v>645</v>
      </c>
      <c r="B646" s="4">
        <f>DAY(G646)</f>
        <v>17</v>
      </c>
      <c r="C646">
        <f>MONTH(G646)</f>
        <v>11</v>
      </c>
      <c r="D646">
        <f>YEAR(G646)</f>
        <v>2023</v>
      </c>
      <c r="E646" t="str">
        <f>TEXT(G646,"DDDD")</f>
        <v>Friday</v>
      </c>
      <c r="F646" t="str">
        <f>TEXT(G646,"MMMM")</f>
        <v>November</v>
      </c>
      <c r="G646" s="3">
        <v>45247</v>
      </c>
      <c r="H646" s="4" t="s">
        <v>678</v>
      </c>
      <c r="I646" s="4" t="s">
        <v>3</v>
      </c>
      <c r="J646" s="4" t="str">
        <f>IF(K646&lt;30, "Young Adult","Adult")</f>
        <v>Adult</v>
      </c>
      <c r="K646" s="4">
        <v>35</v>
      </c>
      <c r="L646" s="4" t="s">
        <v>8</v>
      </c>
      <c r="M646" s="4">
        <v>4</v>
      </c>
      <c r="N646" s="5">
        <v>30</v>
      </c>
      <c r="O646">
        <f>(M646*N646)</f>
        <v>120</v>
      </c>
      <c r="P646">
        <f>O646*$S$3</f>
        <v>1.7999999999999998</v>
      </c>
      <c r="Q646">
        <f>O646*$S$4</f>
        <v>2.4</v>
      </c>
    </row>
    <row r="647" spans="1:17">
      <c r="A647" s="2">
        <v>646</v>
      </c>
      <c r="B647" s="4">
        <f>DAY(G647)</f>
        <v>3</v>
      </c>
      <c r="C647">
        <f>MONTH(G647)</f>
        <v>5</v>
      </c>
      <c r="D647">
        <f>YEAR(G647)</f>
        <v>2023</v>
      </c>
      <c r="E647" t="str">
        <f>TEXT(G647,"DDDD")</f>
        <v>Wednesday</v>
      </c>
      <c r="F647" t="str">
        <f>TEXT(G647,"MMMM")</f>
        <v>May</v>
      </c>
      <c r="G647" s="3">
        <v>45049</v>
      </c>
      <c r="H647" s="4" t="s">
        <v>679</v>
      </c>
      <c r="I647" s="4" t="s">
        <v>4</v>
      </c>
      <c r="J647" s="4" t="str">
        <f>IF(K647&lt;30, "Young Adult","Adult")</f>
        <v>Adult</v>
      </c>
      <c r="K647" s="4">
        <v>38</v>
      </c>
      <c r="L647" s="4" t="s">
        <v>7</v>
      </c>
      <c r="M647" s="4">
        <v>3</v>
      </c>
      <c r="N647" s="5">
        <v>30</v>
      </c>
      <c r="O647">
        <f>(M647*N647)</f>
        <v>90</v>
      </c>
      <c r="P647">
        <f>O647*$S$3</f>
        <v>1.3499999999999999</v>
      </c>
      <c r="Q647">
        <f>O647*$S$4</f>
        <v>1.8</v>
      </c>
    </row>
    <row r="648" spans="1:17">
      <c r="A648" s="2">
        <v>647</v>
      </c>
      <c r="B648" s="4">
        <f>DAY(G648)</f>
        <v>21</v>
      </c>
      <c r="C648">
        <f>MONTH(G648)</f>
        <v>5</v>
      </c>
      <c r="D648">
        <f>YEAR(G648)</f>
        <v>2023</v>
      </c>
      <c r="E648" t="str">
        <f>TEXT(G648,"DDDD")</f>
        <v>Sunday</v>
      </c>
      <c r="F648" t="str">
        <f>TEXT(G648,"MMMM")</f>
        <v>May</v>
      </c>
      <c r="G648" s="3">
        <v>45067</v>
      </c>
      <c r="H648" s="4" t="s">
        <v>680</v>
      </c>
      <c r="I648" s="4" t="s">
        <v>4</v>
      </c>
      <c r="J648" s="4" t="str">
        <f>IF(K648&lt;30, "Young Adult","Adult")</f>
        <v>Adult</v>
      </c>
      <c r="K648" s="4">
        <v>59</v>
      </c>
      <c r="L648" s="4" t="s">
        <v>7</v>
      </c>
      <c r="M648" s="4">
        <v>3</v>
      </c>
      <c r="N648" s="5">
        <v>500</v>
      </c>
      <c r="O648">
        <f>(M648*N648)</f>
        <v>1500</v>
      </c>
      <c r="P648">
        <f>O648*$S$3</f>
        <v>22.5</v>
      </c>
      <c r="Q648">
        <f>O648*$S$4</f>
        <v>30</v>
      </c>
    </row>
    <row r="649" spans="1:17">
      <c r="A649" s="2">
        <v>648</v>
      </c>
      <c r="B649" s="4">
        <f>DAY(G649)</f>
        <v>14</v>
      </c>
      <c r="C649">
        <f>MONTH(G649)</f>
        <v>8</v>
      </c>
      <c r="D649">
        <f>YEAR(G649)</f>
        <v>2023</v>
      </c>
      <c r="E649" t="str">
        <f>TEXT(G649,"DDDD")</f>
        <v>Monday</v>
      </c>
      <c r="F649" t="str">
        <f>TEXT(G649,"MMMM")</f>
        <v>August</v>
      </c>
      <c r="G649" s="3">
        <v>45152</v>
      </c>
      <c r="H649" s="4" t="s">
        <v>681</v>
      </c>
      <c r="I649" s="4" t="s">
        <v>4</v>
      </c>
      <c r="J649" s="4" t="str">
        <f>IF(K649&lt;30, "Young Adult","Adult")</f>
        <v>Adult</v>
      </c>
      <c r="K649" s="4">
        <v>53</v>
      </c>
      <c r="L649" s="4" t="s">
        <v>6</v>
      </c>
      <c r="M649" s="4">
        <v>4</v>
      </c>
      <c r="N649" s="5">
        <v>300</v>
      </c>
      <c r="O649">
        <f>(M649*N649)</f>
        <v>1200</v>
      </c>
      <c r="P649">
        <f>O649*$S$3</f>
        <v>18</v>
      </c>
      <c r="Q649">
        <f>O649*$S$4</f>
        <v>24</v>
      </c>
    </row>
    <row r="650" spans="1:17">
      <c r="A650" s="2">
        <v>649</v>
      </c>
      <c r="B650" s="4">
        <f>DAY(G650)</f>
        <v>9</v>
      </c>
      <c r="C650">
        <f>MONTH(G650)</f>
        <v>2</v>
      </c>
      <c r="D650">
        <f>YEAR(G650)</f>
        <v>2023</v>
      </c>
      <c r="E650" t="str">
        <f>TEXT(G650,"DDDD")</f>
        <v>Thursday</v>
      </c>
      <c r="F650" t="str">
        <f>TEXT(G650,"MMMM")</f>
        <v>February</v>
      </c>
      <c r="G650" s="3">
        <v>44966</v>
      </c>
      <c r="H650" s="4" t="s">
        <v>682</v>
      </c>
      <c r="I650" s="4" t="s">
        <v>3</v>
      </c>
      <c r="J650" s="4" t="str">
        <f>IF(K650&lt;30, "Young Adult","Adult")</f>
        <v>Adult</v>
      </c>
      <c r="K650" s="4">
        <v>58</v>
      </c>
      <c r="L650" s="4" t="s">
        <v>7</v>
      </c>
      <c r="M650" s="4">
        <v>2</v>
      </c>
      <c r="N650" s="5">
        <v>300</v>
      </c>
      <c r="O650">
        <f>(M650*N650)</f>
        <v>600</v>
      </c>
      <c r="P650">
        <f>O650*$S$3</f>
        <v>9</v>
      </c>
      <c r="Q650">
        <f>O650*$S$4</f>
        <v>12</v>
      </c>
    </row>
    <row r="651" spans="1:17">
      <c r="A651" s="2">
        <v>650</v>
      </c>
      <c r="B651" s="4">
        <f>DAY(G651)</f>
        <v>1</v>
      </c>
      <c r="C651">
        <f>MONTH(G651)</f>
        <v>1</v>
      </c>
      <c r="D651">
        <f>YEAR(G651)</f>
        <v>2024</v>
      </c>
      <c r="E651" t="str">
        <f>TEXT(G651,"DDDD")</f>
        <v>Monday</v>
      </c>
      <c r="F651" t="str">
        <f>TEXT(G651,"MMMM")</f>
        <v>January</v>
      </c>
      <c r="G651" s="3">
        <v>45292</v>
      </c>
      <c r="H651" s="4" t="s">
        <v>683</v>
      </c>
      <c r="I651" s="4" t="s">
        <v>4</v>
      </c>
      <c r="J651" s="4" t="str">
        <f>IF(K651&lt;30, "Young Adult","Adult")</f>
        <v>Adult</v>
      </c>
      <c r="K651" s="4">
        <v>55</v>
      </c>
      <c r="L651" s="4" t="s">
        <v>8</v>
      </c>
      <c r="M651" s="4">
        <v>1</v>
      </c>
      <c r="N651" s="5">
        <v>30</v>
      </c>
      <c r="O651">
        <f>(M651*N651)</f>
        <v>30</v>
      </c>
      <c r="P651">
        <f>O651*$S$3</f>
        <v>0.44999999999999996</v>
      </c>
      <c r="Q651">
        <f>O651*$S$4</f>
        <v>0.6</v>
      </c>
    </row>
    <row r="652" spans="1:17">
      <c r="A652" s="2">
        <v>651</v>
      </c>
      <c r="B652" s="4">
        <f>DAY(G652)</f>
        <v>27</v>
      </c>
      <c r="C652">
        <f>MONTH(G652)</f>
        <v>5</v>
      </c>
      <c r="D652">
        <f>YEAR(G652)</f>
        <v>2023</v>
      </c>
      <c r="E652" t="str">
        <f>TEXT(G652,"DDDD")</f>
        <v>Saturday</v>
      </c>
      <c r="F652" t="str">
        <f>TEXT(G652,"MMMM")</f>
        <v>May</v>
      </c>
      <c r="G652" s="3">
        <v>45073</v>
      </c>
      <c r="H652" s="4" t="s">
        <v>684</v>
      </c>
      <c r="I652" s="4" t="s">
        <v>4</v>
      </c>
      <c r="J652" s="4" t="str">
        <f>IF(K652&lt;30, "Young Adult","Adult")</f>
        <v>Adult</v>
      </c>
      <c r="K652" s="4">
        <v>51</v>
      </c>
      <c r="L652" s="4" t="s">
        <v>7</v>
      </c>
      <c r="M652" s="4">
        <v>3</v>
      </c>
      <c r="N652" s="5">
        <v>50</v>
      </c>
      <c r="O652">
        <f>(M652*N652)</f>
        <v>150</v>
      </c>
      <c r="P652">
        <f>O652*$S$3</f>
        <v>2.25</v>
      </c>
      <c r="Q652">
        <f>O652*$S$4</f>
        <v>3</v>
      </c>
    </row>
    <row r="653" spans="1:17">
      <c r="A653" s="2">
        <v>652</v>
      </c>
      <c r="B653" s="4">
        <f>DAY(G653)</f>
        <v>1</v>
      </c>
      <c r="C653">
        <f>MONTH(G653)</f>
        <v>5</v>
      </c>
      <c r="D653">
        <f>YEAR(G653)</f>
        <v>2023</v>
      </c>
      <c r="E653" t="str">
        <f>TEXT(G653,"DDDD")</f>
        <v>Monday</v>
      </c>
      <c r="F653" t="str">
        <f>TEXT(G653,"MMMM")</f>
        <v>May</v>
      </c>
      <c r="G653" s="3">
        <v>45047</v>
      </c>
      <c r="H653" s="4" t="s">
        <v>685</v>
      </c>
      <c r="I653" s="4" t="s">
        <v>3</v>
      </c>
      <c r="J653" s="4" t="str">
        <f>IF(K653&lt;30, "Young Adult","Adult")</f>
        <v>Adult</v>
      </c>
      <c r="K653" s="4">
        <v>34</v>
      </c>
      <c r="L653" s="4" t="s">
        <v>6</v>
      </c>
      <c r="M653" s="4">
        <v>2</v>
      </c>
      <c r="N653" s="5">
        <v>50</v>
      </c>
      <c r="O653">
        <f>(M653*N653)</f>
        <v>100</v>
      </c>
      <c r="P653">
        <f>O653*$S$3</f>
        <v>1.5</v>
      </c>
      <c r="Q653">
        <f>O653*$S$4</f>
        <v>2</v>
      </c>
    </row>
    <row r="654" spans="1:17">
      <c r="A654" s="2">
        <v>653</v>
      </c>
      <c r="B654" s="4">
        <f>DAY(G654)</f>
        <v>20</v>
      </c>
      <c r="C654">
        <f>MONTH(G654)</f>
        <v>5</v>
      </c>
      <c r="D654">
        <f>YEAR(G654)</f>
        <v>2023</v>
      </c>
      <c r="E654" t="str">
        <f>TEXT(G654,"DDDD")</f>
        <v>Saturday</v>
      </c>
      <c r="F654" t="str">
        <f>TEXT(G654,"MMMM")</f>
        <v>May</v>
      </c>
      <c r="G654" s="3">
        <v>45066</v>
      </c>
      <c r="H654" s="4" t="s">
        <v>686</v>
      </c>
      <c r="I654" s="4" t="s">
        <v>4</v>
      </c>
      <c r="J654" s="4" t="str">
        <f>IF(K654&lt;30, "Young Adult","Adult")</f>
        <v>Adult</v>
      </c>
      <c r="K654" s="4">
        <v>54</v>
      </c>
      <c r="L654" s="4" t="s">
        <v>7</v>
      </c>
      <c r="M654" s="4">
        <v>3</v>
      </c>
      <c r="N654" s="5">
        <v>25</v>
      </c>
      <c r="O654">
        <f>(M654*N654)</f>
        <v>75</v>
      </c>
      <c r="P654">
        <f>O654*$S$3</f>
        <v>1.125</v>
      </c>
      <c r="Q654">
        <f>O654*$S$4</f>
        <v>1.5</v>
      </c>
    </row>
    <row r="655" spans="1:17">
      <c r="A655" s="2">
        <v>654</v>
      </c>
      <c r="B655" s="4">
        <f>DAY(G655)</f>
        <v>21</v>
      </c>
      <c r="C655">
        <f>MONTH(G655)</f>
        <v>6</v>
      </c>
      <c r="D655">
        <f>YEAR(G655)</f>
        <v>2023</v>
      </c>
      <c r="E655" t="str">
        <f>TEXT(G655,"DDDD")</f>
        <v>Wednesday</v>
      </c>
      <c r="F655" t="str">
        <f>TEXT(G655,"MMMM")</f>
        <v>June</v>
      </c>
      <c r="G655" s="3">
        <v>45098</v>
      </c>
      <c r="H655" s="4" t="s">
        <v>687</v>
      </c>
      <c r="I655" s="4" t="s">
        <v>4</v>
      </c>
      <c r="J655" s="4" t="str">
        <f>IF(K655&lt;30, "Young Adult","Adult")</f>
        <v>Adult</v>
      </c>
      <c r="K655" s="4">
        <v>42</v>
      </c>
      <c r="L655" s="4" t="s">
        <v>7</v>
      </c>
      <c r="M655" s="4">
        <v>3</v>
      </c>
      <c r="N655" s="5">
        <v>25</v>
      </c>
      <c r="O655">
        <f>(M655*N655)</f>
        <v>75</v>
      </c>
      <c r="P655">
        <f>O655*$S$3</f>
        <v>1.125</v>
      </c>
      <c r="Q655">
        <f>O655*$S$4</f>
        <v>1.5</v>
      </c>
    </row>
    <row r="656" spans="1:17">
      <c r="A656" s="2">
        <v>655</v>
      </c>
      <c r="B656" s="4">
        <f>DAY(G656)</f>
        <v>13</v>
      </c>
      <c r="C656">
        <f>MONTH(G656)</f>
        <v>6</v>
      </c>
      <c r="D656">
        <f>YEAR(G656)</f>
        <v>2023</v>
      </c>
      <c r="E656" t="str">
        <f>TEXT(G656,"DDDD")</f>
        <v>Tuesday</v>
      </c>
      <c r="F656" t="str">
        <f>TEXT(G656,"MMMM")</f>
        <v>June</v>
      </c>
      <c r="G656" s="3">
        <v>45090</v>
      </c>
      <c r="H656" s="4" t="s">
        <v>688</v>
      </c>
      <c r="I656" s="4" t="s">
        <v>3</v>
      </c>
      <c r="J656" s="4" t="str">
        <f>IF(K656&lt;30, "Young Adult","Adult")</f>
        <v>Adult</v>
      </c>
      <c r="K656" s="4">
        <v>55</v>
      </c>
      <c r="L656" s="4" t="s">
        <v>7</v>
      </c>
      <c r="M656" s="4">
        <v>1</v>
      </c>
      <c r="N656" s="5">
        <v>500</v>
      </c>
      <c r="O656">
        <f>(M656*N656)</f>
        <v>500</v>
      </c>
      <c r="P656">
        <f>O656*$S$3</f>
        <v>7.5</v>
      </c>
      <c r="Q656">
        <f>O656*$S$4</f>
        <v>10</v>
      </c>
    </row>
    <row r="657" spans="1:17">
      <c r="A657" s="2">
        <v>656</v>
      </c>
      <c r="B657" s="4">
        <f>DAY(G657)</f>
        <v>4</v>
      </c>
      <c r="C657">
        <f>MONTH(G657)</f>
        <v>10</v>
      </c>
      <c r="D657">
        <f>YEAR(G657)</f>
        <v>2023</v>
      </c>
      <c r="E657" t="str">
        <f>TEXT(G657,"DDDD")</f>
        <v>Wednesday</v>
      </c>
      <c r="F657" t="str">
        <f>TEXT(G657,"MMMM")</f>
        <v>October</v>
      </c>
      <c r="G657" s="3">
        <v>45203</v>
      </c>
      <c r="H657" s="4" t="s">
        <v>689</v>
      </c>
      <c r="I657" s="4" t="s">
        <v>4</v>
      </c>
      <c r="J657" s="4" t="str">
        <f>IF(K657&lt;30, "Young Adult","Adult")</f>
        <v>Young Adult</v>
      </c>
      <c r="K657" s="4">
        <v>29</v>
      </c>
      <c r="L657" s="4" t="s">
        <v>6</v>
      </c>
      <c r="M657" s="4">
        <v>3</v>
      </c>
      <c r="N657" s="5">
        <v>30</v>
      </c>
      <c r="O657">
        <f>(M657*N657)</f>
        <v>90</v>
      </c>
      <c r="P657">
        <f>O657*$S$3</f>
        <v>1.3499999999999999</v>
      </c>
      <c r="Q657">
        <f>O657*$S$4</f>
        <v>1.8</v>
      </c>
    </row>
    <row r="658" spans="1:17">
      <c r="A658" s="2">
        <v>657</v>
      </c>
      <c r="B658" s="4">
        <f>DAY(G658)</f>
        <v>11</v>
      </c>
      <c r="C658">
        <f>MONTH(G658)</f>
        <v>2</v>
      </c>
      <c r="D658">
        <f>YEAR(G658)</f>
        <v>2023</v>
      </c>
      <c r="E658" t="str">
        <f>TEXT(G658,"DDDD")</f>
        <v>Saturday</v>
      </c>
      <c r="F658" t="str">
        <f>TEXT(G658,"MMMM")</f>
        <v>February</v>
      </c>
      <c r="G658" s="3">
        <v>44968</v>
      </c>
      <c r="H658" s="4" t="s">
        <v>690</v>
      </c>
      <c r="I658" s="4" t="s">
        <v>4</v>
      </c>
      <c r="J658" s="4" t="str">
        <f>IF(K658&lt;30, "Young Adult","Adult")</f>
        <v>Adult</v>
      </c>
      <c r="K658" s="4">
        <v>40</v>
      </c>
      <c r="L658" s="4" t="s">
        <v>7</v>
      </c>
      <c r="M658" s="4">
        <v>1</v>
      </c>
      <c r="N658" s="5">
        <v>25</v>
      </c>
      <c r="O658">
        <f>(M658*N658)</f>
        <v>25</v>
      </c>
      <c r="P658">
        <f>O658*$S$3</f>
        <v>0.375</v>
      </c>
      <c r="Q658">
        <f>O658*$S$4</f>
        <v>0.5</v>
      </c>
    </row>
    <row r="659" spans="1:17">
      <c r="A659" s="2">
        <v>658</v>
      </c>
      <c r="B659" s="4">
        <f>DAY(G659)</f>
        <v>12</v>
      </c>
      <c r="C659">
        <f>MONTH(G659)</f>
        <v>3</v>
      </c>
      <c r="D659">
        <f>YEAR(G659)</f>
        <v>2023</v>
      </c>
      <c r="E659" t="str">
        <f>TEXT(G659,"DDDD")</f>
        <v>Sunday</v>
      </c>
      <c r="F659" t="str">
        <f>TEXT(G659,"MMMM")</f>
        <v>March</v>
      </c>
      <c r="G659" s="3">
        <v>44997</v>
      </c>
      <c r="H659" s="4" t="s">
        <v>691</v>
      </c>
      <c r="I659" s="4" t="s">
        <v>4</v>
      </c>
      <c r="J659" s="4" t="str">
        <f>IF(K659&lt;30, "Young Adult","Adult")</f>
        <v>Adult</v>
      </c>
      <c r="K659" s="4">
        <v>59</v>
      </c>
      <c r="L659" s="4" t="s">
        <v>7</v>
      </c>
      <c r="M659" s="4">
        <v>1</v>
      </c>
      <c r="N659" s="5">
        <v>25</v>
      </c>
      <c r="O659">
        <f>(M659*N659)</f>
        <v>25</v>
      </c>
      <c r="P659">
        <f>O659*$S$3</f>
        <v>0.375</v>
      </c>
      <c r="Q659">
        <f>O659*$S$4</f>
        <v>0.5</v>
      </c>
    </row>
    <row r="660" spans="1:17">
      <c r="A660" s="2">
        <v>659</v>
      </c>
      <c r="B660" s="4">
        <f>DAY(G660)</f>
        <v>19</v>
      </c>
      <c r="C660">
        <f>MONTH(G660)</f>
        <v>3</v>
      </c>
      <c r="D660">
        <f>YEAR(G660)</f>
        <v>2023</v>
      </c>
      <c r="E660" t="str">
        <f>TEXT(G660,"DDDD")</f>
        <v>Sunday</v>
      </c>
      <c r="F660" t="str">
        <f>TEXT(G660,"MMMM")</f>
        <v>March</v>
      </c>
      <c r="G660" s="3">
        <v>45004</v>
      </c>
      <c r="H660" s="4" t="s">
        <v>692</v>
      </c>
      <c r="I660" s="4" t="s">
        <v>3</v>
      </c>
      <c r="J660" s="4" t="str">
        <f>IF(K660&lt;30, "Young Adult","Adult")</f>
        <v>Adult</v>
      </c>
      <c r="K660" s="4">
        <v>39</v>
      </c>
      <c r="L660" s="4" t="s">
        <v>8</v>
      </c>
      <c r="M660" s="4">
        <v>1</v>
      </c>
      <c r="N660" s="5">
        <v>30</v>
      </c>
      <c r="O660">
        <f>(M660*N660)</f>
        <v>30</v>
      </c>
      <c r="P660">
        <f>O660*$S$3</f>
        <v>0.44999999999999996</v>
      </c>
      <c r="Q660">
        <f>O660*$S$4</f>
        <v>0.6</v>
      </c>
    </row>
    <row r="661" spans="1:17">
      <c r="A661" s="2">
        <v>660</v>
      </c>
      <c r="B661" s="4">
        <f>DAY(G661)</f>
        <v>29</v>
      </c>
      <c r="C661">
        <f>MONTH(G661)</f>
        <v>4</v>
      </c>
      <c r="D661">
        <f>YEAR(G661)</f>
        <v>2023</v>
      </c>
      <c r="E661" t="str">
        <f>TEXT(G661,"DDDD")</f>
        <v>Saturday</v>
      </c>
      <c r="F661" t="str">
        <f>TEXT(G661,"MMMM")</f>
        <v>April</v>
      </c>
      <c r="G661" s="3">
        <v>45045</v>
      </c>
      <c r="H661" s="4" t="s">
        <v>693</v>
      </c>
      <c r="I661" s="4" t="s">
        <v>3</v>
      </c>
      <c r="J661" s="4" t="str">
        <f>IF(K661&lt;30, "Young Adult","Adult")</f>
        <v>Adult</v>
      </c>
      <c r="K661" s="4">
        <v>38</v>
      </c>
      <c r="L661" s="4" t="s">
        <v>6</v>
      </c>
      <c r="M661" s="4">
        <v>2</v>
      </c>
      <c r="N661" s="5">
        <v>500</v>
      </c>
      <c r="O661">
        <f>(M661*N661)</f>
        <v>1000</v>
      </c>
      <c r="P661">
        <f>O661*$S$3</f>
        <v>15</v>
      </c>
      <c r="Q661">
        <f>O661*$S$4</f>
        <v>20</v>
      </c>
    </row>
    <row r="662" spans="1:17">
      <c r="A662" s="2">
        <v>661</v>
      </c>
      <c r="B662" s="4">
        <f>DAY(G662)</f>
        <v>16</v>
      </c>
      <c r="C662">
        <f>MONTH(G662)</f>
        <v>7</v>
      </c>
      <c r="D662">
        <f>YEAR(G662)</f>
        <v>2023</v>
      </c>
      <c r="E662" t="str">
        <f>TEXT(G662,"DDDD")</f>
        <v>Sunday</v>
      </c>
      <c r="F662" t="str">
        <f>TEXT(G662,"MMMM")</f>
        <v>July</v>
      </c>
      <c r="G662" s="3">
        <v>45123</v>
      </c>
      <c r="H662" s="4" t="s">
        <v>694</v>
      </c>
      <c r="I662" s="4" t="s">
        <v>3</v>
      </c>
      <c r="J662" s="4" t="str">
        <f>IF(K662&lt;30, "Young Adult","Adult")</f>
        <v>Adult</v>
      </c>
      <c r="K662" s="4">
        <v>44</v>
      </c>
      <c r="L662" s="4" t="s">
        <v>7</v>
      </c>
      <c r="M662" s="4">
        <v>4</v>
      </c>
      <c r="N662" s="5">
        <v>25</v>
      </c>
      <c r="O662">
        <f>(M662*N662)</f>
        <v>100</v>
      </c>
      <c r="P662">
        <f>O662*$S$3</f>
        <v>1.5</v>
      </c>
      <c r="Q662">
        <f>O662*$S$4</f>
        <v>2</v>
      </c>
    </row>
    <row r="663" spans="1:17">
      <c r="A663" s="2">
        <v>662</v>
      </c>
      <c r="B663" s="4">
        <f>DAY(G663)</f>
        <v>22</v>
      </c>
      <c r="C663">
        <f>MONTH(G663)</f>
        <v>12</v>
      </c>
      <c r="D663">
        <f>YEAR(G663)</f>
        <v>2023</v>
      </c>
      <c r="E663" t="str">
        <f>TEXT(G663,"DDDD")</f>
        <v>Friday</v>
      </c>
      <c r="F663" t="str">
        <f>TEXT(G663,"MMMM")</f>
        <v>December</v>
      </c>
      <c r="G663" s="3">
        <v>45282</v>
      </c>
      <c r="H663" s="4" t="s">
        <v>695</v>
      </c>
      <c r="I663" s="4" t="s">
        <v>4</v>
      </c>
      <c r="J663" s="4" t="str">
        <f>IF(K663&lt;30, "Young Adult","Adult")</f>
        <v>Adult</v>
      </c>
      <c r="K663" s="4">
        <v>48</v>
      </c>
      <c r="L663" s="4" t="s">
        <v>6</v>
      </c>
      <c r="M663" s="4">
        <v>2</v>
      </c>
      <c r="N663" s="5">
        <v>500</v>
      </c>
      <c r="O663">
        <f>(M663*N663)</f>
        <v>1000</v>
      </c>
      <c r="P663">
        <f>O663*$S$3</f>
        <v>15</v>
      </c>
      <c r="Q663">
        <f>O663*$S$4</f>
        <v>20</v>
      </c>
    </row>
    <row r="664" spans="1:17">
      <c r="A664" s="2">
        <v>663</v>
      </c>
      <c r="B664" s="4">
        <f>DAY(G664)</f>
        <v>20</v>
      </c>
      <c r="C664">
        <f>MONTH(G664)</f>
        <v>3</v>
      </c>
      <c r="D664">
        <f>YEAR(G664)</f>
        <v>2023</v>
      </c>
      <c r="E664" t="str">
        <f>TEXT(G664,"DDDD")</f>
        <v>Monday</v>
      </c>
      <c r="F664" t="str">
        <f>TEXT(G664,"MMMM")</f>
        <v>March</v>
      </c>
      <c r="G664" s="3">
        <v>45005</v>
      </c>
      <c r="H664" s="4" t="s">
        <v>696</v>
      </c>
      <c r="I664" s="4" t="s">
        <v>4</v>
      </c>
      <c r="J664" s="4" t="str">
        <f>IF(K664&lt;30, "Young Adult","Adult")</f>
        <v>Young Adult</v>
      </c>
      <c r="K664" s="4">
        <v>23</v>
      </c>
      <c r="L664" s="4" t="s">
        <v>7</v>
      </c>
      <c r="M664" s="4">
        <v>4</v>
      </c>
      <c r="N664" s="5">
        <v>300</v>
      </c>
      <c r="O664">
        <f>(M664*N664)</f>
        <v>1200</v>
      </c>
      <c r="P664">
        <f>O664*$S$3</f>
        <v>18</v>
      </c>
      <c r="Q664">
        <f>O664*$S$4</f>
        <v>24</v>
      </c>
    </row>
    <row r="665" spans="1:17">
      <c r="A665" s="2">
        <v>664</v>
      </c>
      <c r="B665" s="4">
        <f>DAY(G665)</f>
        <v>28</v>
      </c>
      <c r="C665">
        <f>MONTH(G665)</f>
        <v>12</v>
      </c>
      <c r="D665">
        <f>YEAR(G665)</f>
        <v>2023</v>
      </c>
      <c r="E665" t="str">
        <f>TEXT(G665,"DDDD")</f>
        <v>Thursday</v>
      </c>
      <c r="F665" t="str">
        <f>TEXT(G665,"MMMM")</f>
        <v>December</v>
      </c>
      <c r="G665" s="3">
        <v>45288</v>
      </c>
      <c r="H665" s="4" t="s">
        <v>697</v>
      </c>
      <c r="I665" s="4" t="s">
        <v>3</v>
      </c>
      <c r="J665" s="4" t="str">
        <f>IF(K665&lt;30, "Young Adult","Adult")</f>
        <v>Adult</v>
      </c>
      <c r="K665" s="4">
        <v>44</v>
      </c>
      <c r="L665" s="4" t="s">
        <v>7</v>
      </c>
      <c r="M665" s="4">
        <v>4</v>
      </c>
      <c r="N665" s="5">
        <v>500</v>
      </c>
      <c r="O665">
        <f>(M665*N665)</f>
        <v>2000</v>
      </c>
      <c r="P665">
        <f>O665*$S$3</f>
        <v>30</v>
      </c>
      <c r="Q665">
        <f>O665*$S$4</f>
        <v>40</v>
      </c>
    </row>
    <row r="666" spans="1:17">
      <c r="A666" s="2">
        <v>665</v>
      </c>
      <c r="B666" s="4">
        <f>DAY(G666)</f>
        <v>20</v>
      </c>
      <c r="C666">
        <f>MONTH(G666)</f>
        <v>4</v>
      </c>
      <c r="D666">
        <f>YEAR(G666)</f>
        <v>2023</v>
      </c>
      <c r="E666" t="str">
        <f>TEXT(G666,"DDDD")</f>
        <v>Thursday</v>
      </c>
      <c r="F666" t="str">
        <f>TEXT(G666,"MMMM")</f>
        <v>April</v>
      </c>
      <c r="G666" s="3">
        <v>45036</v>
      </c>
      <c r="H666" s="4" t="s">
        <v>698</v>
      </c>
      <c r="I666" s="4" t="s">
        <v>4</v>
      </c>
      <c r="J666" s="4" t="str">
        <f>IF(K666&lt;30, "Young Adult","Adult")</f>
        <v>Adult</v>
      </c>
      <c r="K666" s="4">
        <v>57</v>
      </c>
      <c r="L666" s="4" t="s">
        <v>7</v>
      </c>
      <c r="M666" s="4">
        <v>1</v>
      </c>
      <c r="N666" s="5">
        <v>50</v>
      </c>
      <c r="O666">
        <f>(M666*N666)</f>
        <v>50</v>
      </c>
      <c r="P666">
        <f>O666*$S$3</f>
        <v>0.75</v>
      </c>
      <c r="Q666">
        <f>O666*$S$4</f>
        <v>1</v>
      </c>
    </row>
    <row r="667" spans="1:17">
      <c r="A667" s="2">
        <v>666</v>
      </c>
      <c r="B667" s="4">
        <f>DAY(G667)</f>
        <v>2</v>
      </c>
      <c r="C667">
        <f>MONTH(G667)</f>
        <v>2</v>
      </c>
      <c r="D667">
        <f>YEAR(G667)</f>
        <v>2023</v>
      </c>
      <c r="E667" t="str">
        <f>TEXT(G667,"DDDD")</f>
        <v>Thursday</v>
      </c>
      <c r="F667" t="str">
        <f>TEXT(G667,"MMMM")</f>
        <v>February</v>
      </c>
      <c r="G667" s="3">
        <v>44959</v>
      </c>
      <c r="H667" s="4" t="s">
        <v>699</v>
      </c>
      <c r="I667" s="4" t="s">
        <v>4</v>
      </c>
      <c r="J667" s="4" t="str">
        <f>IF(K667&lt;30, "Young Adult","Adult")</f>
        <v>Adult</v>
      </c>
      <c r="K667" s="4">
        <v>51</v>
      </c>
      <c r="L667" s="4" t="s">
        <v>8</v>
      </c>
      <c r="M667" s="4">
        <v>3</v>
      </c>
      <c r="N667" s="5">
        <v>50</v>
      </c>
      <c r="O667">
        <f>(M667*N667)</f>
        <v>150</v>
      </c>
      <c r="P667">
        <f>O667*$S$3</f>
        <v>2.25</v>
      </c>
      <c r="Q667">
        <f>O667*$S$4</f>
        <v>3</v>
      </c>
    </row>
    <row r="668" spans="1:17">
      <c r="A668" s="2">
        <v>667</v>
      </c>
      <c r="B668" s="4">
        <f>DAY(G668)</f>
        <v>1</v>
      </c>
      <c r="C668">
        <f>MONTH(G668)</f>
        <v>8</v>
      </c>
      <c r="D668">
        <f>YEAR(G668)</f>
        <v>2023</v>
      </c>
      <c r="E668" t="str">
        <f>TEXT(G668,"DDDD")</f>
        <v>Tuesday</v>
      </c>
      <c r="F668" t="str">
        <f>TEXT(G668,"MMMM")</f>
        <v>August</v>
      </c>
      <c r="G668" s="3">
        <v>45139</v>
      </c>
      <c r="H668" s="4" t="s">
        <v>700</v>
      </c>
      <c r="I668" s="4" t="s">
        <v>3</v>
      </c>
      <c r="J668" s="4" t="str">
        <f>IF(K668&lt;30, "Young Adult","Adult")</f>
        <v>Young Adult</v>
      </c>
      <c r="K668" s="4">
        <v>29</v>
      </c>
      <c r="L668" s="4" t="s">
        <v>8</v>
      </c>
      <c r="M668" s="4">
        <v>1</v>
      </c>
      <c r="N668" s="5">
        <v>500</v>
      </c>
      <c r="O668">
        <f>(M668*N668)</f>
        <v>500</v>
      </c>
      <c r="P668">
        <f>O668*$S$3</f>
        <v>7.5</v>
      </c>
      <c r="Q668">
        <f>O668*$S$4</f>
        <v>10</v>
      </c>
    </row>
    <row r="669" spans="1:17">
      <c r="A669" s="2">
        <v>668</v>
      </c>
      <c r="B669" s="4">
        <f>DAY(G669)</f>
        <v>28</v>
      </c>
      <c r="C669">
        <f>MONTH(G669)</f>
        <v>7</v>
      </c>
      <c r="D669">
        <f>YEAR(G669)</f>
        <v>2023</v>
      </c>
      <c r="E669" t="str">
        <f>TEXT(G669,"DDDD")</f>
        <v>Friday</v>
      </c>
      <c r="F669" t="str">
        <f>TEXT(G669,"MMMM")</f>
        <v>July</v>
      </c>
      <c r="G669" s="3">
        <v>45135</v>
      </c>
      <c r="H669" s="4" t="s">
        <v>701</v>
      </c>
      <c r="I669" s="4" t="s">
        <v>3</v>
      </c>
      <c r="J669" s="4" t="str">
        <f>IF(K669&lt;30, "Young Adult","Adult")</f>
        <v>Adult</v>
      </c>
      <c r="K669" s="4">
        <v>62</v>
      </c>
      <c r="L669" s="4" t="s">
        <v>8</v>
      </c>
      <c r="M669" s="4">
        <v>3</v>
      </c>
      <c r="N669" s="5">
        <v>50</v>
      </c>
      <c r="O669">
        <f>(M669*N669)</f>
        <v>150</v>
      </c>
      <c r="P669">
        <f>O669*$S$3</f>
        <v>2.25</v>
      </c>
      <c r="Q669">
        <f>O669*$S$4</f>
        <v>3</v>
      </c>
    </row>
    <row r="670" spans="1:17">
      <c r="A670" s="2">
        <v>669</v>
      </c>
      <c r="B670" s="4">
        <f>DAY(G670)</f>
        <v>19</v>
      </c>
      <c r="C670">
        <f>MONTH(G670)</f>
        <v>6</v>
      </c>
      <c r="D670">
        <f>YEAR(G670)</f>
        <v>2023</v>
      </c>
      <c r="E670" t="str">
        <f>TEXT(G670,"DDDD")</f>
        <v>Monday</v>
      </c>
      <c r="F670" t="str">
        <f>TEXT(G670,"MMMM")</f>
        <v>June</v>
      </c>
      <c r="G670" s="3">
        <v>45096</v>
      </c>
      <c r="H670" s="4" t="s">
        <v>702</v>
      </c>
      <c r="I670" s="4" t="s">
        <v>4</v>
      </c>
      <c r="J670" s="4" t="str">
        <f>IF(K670&lt;30, "Young Adult","Adult")</f>
        <v>Young Adult</v>
      </c>
      <c r="K670" s="4">
        <v>24</v>
      </c>
      <c r="L670" s="4" t="s">
        <v>6</v>
      </c>
      <c r="M670" s="4">
        <v>4</v>
      </c>
      <c r="N670" s="5">
        <v>300</v>
      </c>
      <c r="O670">
        <f>(M670*N670)</f>
        <v>1200</v>
      </c>
      <c r="P670">
        <f>O670*$S$3</f>
        <v>18</v>
      </c>
      <c r="Q670">
        <f>O670*$S$4</f>
        <v>24</v>
      </c>
    </row>
    <row r="671" spans="1:17">
      <c r="A671" s="2">
        <v>670</v>
      </c>
      <c r="B671" s="4">
        <f>DAY(G671)</f>
        <v>5</v>
      </c>
      <c r="C671">
        <f>MONTH(G671)</f>
        <v>10</v>
      </c>
      <c r="D671">
        <f>YEAR(G671)</f>
        <v>2023</v>
      </c>
      <c r="E671" t="str">
        <f>TEXT(G671,"DDDD")</f>
        <v>Thursday</v>
      </c>
      <c r="F671" t="str">
        <f>TEXT(G671,"MMMM")</f>
        <v>October</v>
      </c>
      <c r="G671" s="3">
        <v>45204</v>
      </c>
      <c r="H671" s="4" t="s">
        <v>703</v>
      </c>
      <c r="I671" s="4" t="s">
        <v>4</v>
      </c>
      <c r="J671" s="4" t="str">
        <f>IF(K671&lt;30, "Young Adult","Adult")</f>
        <v>Young Adult</v>
      </c>
      <c r="K671" s="4">
        <v>27</v>
      </c>
      <c r="L671" s="4" t="s">
        <v>6</v>
      </c>
      <c r="M671" s="4">
        <v>1</v>
      </c>
      <c r="N671" s="5">
        <v>30</v>
      </c>
      <c r="O671">
        <f>(M671*N671)</f>
        <v>30</v>
      </c>
      <c r="P671">
        <f>O671*$S$3</f>
        <v>0.44999999999999996</v>
      </c>
      <c r="Q671">
        <f>O671*$S$4</f>
        <v>0.6</v>
      </c>
    </row>
    <row r="672" spans="1:17">
      <c r="A672" s="2">
        <v>671</v>
      </c>
      <c r="B672" s="4">
        <f>DAY(G672)</f>
        <v>27</v>
      </c>
      <c r="C672">
        <f>MONTH(G672)</f>
        <v>8</v>
      </c>
      <c r="D672">
        <f>YEAR(G672)</f>
        <v>2023</v>
      </c>
      <c r="E672" t="str">
        <f>TEXT(G672,"DDDD")</f>
        <v>Sunday</v>
      </c>
      <c r="F672" t="str">
        <f>TEXT(G672,"MMMM")</f>
        <v>August</v>
      </c>
      <c r="G672" s="3">
        <v>45165</v>
      </c>
      <c r="H672" s="4" t="s">
        <v>704</v>
      </c>
      <c r="I672" s="4" t="s">
        <v>4</v>
      </c>
      <c r="J672" s="4" t="str">
        <f>IF(K672&lt;30, "Young Adult","Adult")</f>
        <v>Adult</v>
      </c>
      <c r="K672" s="4">
        <v>62</v>
      </c>
      <c r="L672" s="4" t="s">
        <v>8</v>
      </c>
      <c r="M672" s="4">
        <v>3</v>
      </c>
      <c r="N672" s="5">
        <v>50</v>
      </c>
      <c r="O672">
        <f>(M672*N672)</f>
        <v>150</v>
      </c>
      <c r="P672">
        <f>O672*$S$3</f>
        <v>2.25</v>
      </c>
      <c r="Q672">
        <f>O672*$S$4</f>
        <v>3</v>
      </c>
    </row>
    <row r="673" spans="1:17">
      <c r="A673" s="2">
        <v>672</v>
      </c>
      <c r="B673" s="4">
        <f>DAY(G673)</f>
        <v>1</v>
      </c>
      <c r="C673">
        <f>MONTH(G673)</f>
        <v>8</v>
      </c>
      <c r="D673">
        <f>YEAR(G673)</f>
        <v>2023</v>
      </c>
      <c r="E673" t="str">
        <f>TEXT(G673,"DDDD")</f>
        <v>Tuesday</v>
      </c>
      <c r="F673" t="str">
        <f>TEXT(G673,"MMMM")</f>
        <v>August</v>
      </c>
      <c r="G673" s="3">
        <v>45139</v>
      </c>
      <c r="H673" s="4" t="s">
        <v>705</v>
      </c>
      <c r="I673" s="4" t="s">
        <v>3</v>
      </c>
      <c r="J673" s="4" t="str">
        <f>IF(K673&lt;30, "Young Adult","Adult")</f>
        <v>Adult</v>
      </c>
      <c r="K673" s="4">
        <v>34</v>
      </c>
      <c r="L673" s="4" t="s">
        <v>6</v>
      </c>
      <c r="M673" s="4">
        <v>2</v>
      </c>
      <c r="N673" s="5">
        <v>50</v>
      </c>
      <c r="O673">
        <f>(M673*N673)</f>
        <v>100</v>
      </c>
      <c r="P673">
        <f>O673*$S$3</f>
        <v>1.5</v>
      </c>
      <c r="Q673">
        <f>O673*$S$4</f>
        <v>2</v>
      </c>
    </row>
    <row r="674" spans="1:17">
      <c r="A674" s="2">
        <v>673</v>
      </c>
      <c r="B674" s="4">
        <f>DAY(G674)</f>
        <v>1</v>
      </c>
      <c r="C674">
        <f>MONTH(G674)</f>
        <v>2</v>
      </c>
      <c r="D674">
        <f>YEAR(G674)</f>
        <v>2023</v>
      </c>
      <c r="E674" t="str">
        <f>TEXT(G674,"DDDD")</f>
        <v>Wednesday</v>
      </c>
      <c r="F674" t="str">
        <f>TEXT(G674,"MMMM")</f>
        <v>February</v>
      </c>
      <c r="G674" s="3">
        <v>44958</v>
      </c>
      <c r="H674" s="4" t="s">
        <v>706</v>
      </c>
      <c r="I674" s="4" t="s">
        <v>3</v>
      </c>
      <c r="J674" s="4" t="str">
        <f>IF(K674&lt;30, "Young Adult","Adult")</f>
        <v>Adult</v>
      </c>
      <c r="K674" s="4">
        <v>43</v>
      </c>
      <c r="L674" s="4" t="s">
        <v>7</v>
      </c>
      <c r="M674" s="4">
        <v>3</v>
      </c>
      <c r="N674" s="5">
        <v>500</v>
      </c>
      <c r="O674">
        <f>(M674*N674)</f>
        <v>1500</v>
      </c>
      <c r="P674">
        <f>O674*$S$3</f>
        <v>22.5</v>
      </c>
      <c r="Q674">
        <f>O674*$S$4</f>
        <v>30</v>
      </c>
    </row>
    <row r="675" spans="1:17">
      <c r="A675" s="2">
        <v>674</v>
      </c>
      <c r="B675" s="4">
        <f>DAY(G675)</f>
        <v>16</v>
      </c>
      <c r="C675">
        <f>MONTH(G675)</f>
        <v>4</v>
      </c>
      <c r="D675">
        <f>YEAR(G675)</f>
        <v>2023</v>
      </c>
      <c r="E675" t="str">
        <f>TEXT(G675,"DDDD")</f>
        <v>Sunday</v>
      </c>
      <c r="F675" t="str">
        <f>TEXT(G675,"MMMM")</f>
        <v>April</v>
      </c>
      <c r="G675" s="3">
        <v>45032</v>
      </c>
      <c r="H675" s="4" t="s">
        <v>707</v>
      </c>
      <c r="I675" s="4" t="s">
        <v>3</v>
      </c>
      <c r="J675" s="4" t="str">
        <f>IF(K675&lt;30, "Young Adult","Adult")</f>
        <v>Adult</v>
      </c>
      <c r="K675" s="4">
        <v>38</v>
      </c>
      <c r="L675" s="4" t="s">
        <v>7</v>
      </c>
      <c r="M675" s="4">
        <v>1</v>
      </c>
      <c r="N675" s="5">
        <v>300</v>
      </c>
      <c r="O675">
        <f>(M675*N675)</f>
        <v>300</v>
      </c>
      <c r="P675">
        <f>O675*$S$3</f>
        <v>4.5</v>
      </c>
      <c r="Q675">
        <f>O675*$S$4</f>
        <v>6</v>
      </c>
    </row>
    <row r="676" spans="1:17">
      <c r="A676" s="2">
        <v>675</v>
      </c>
      <c r="B676" s="4">
        <f>DAY(G676)</f>
        <v>4</v>
      </c>
      <c r="C676">
        <f>MONTH(G676)</f>
        <v>8</v>
      </c>
      <c r="D676">
        <f>YEAR(G676)</f>
        <v>2023</v>
      </c>
      <c r="E676" t="str">
        <f>TEXT(G676,"DDDD")</f>
        <v>Friday</v>
      </c>
      <c r="F676" t="str">
        <f>TEXT(G676,"MMMM")</f>
        <v>August</v>
      </c>
      <c r="G676" s="3">
        <v>45142</v>
      </c>
      <c r="H676" s="4" t="s">
        <v>708</v>
      </c>
      <c r="I676" s="4" t="s">
        <v>3</v>
      </c>
      <c r="J676" s="4" t="str">
        <f>IF(K676&lt;30, "Young Adult","Adult")</f>
        <v>Adult</v>
      </c>
      <c r="K676" s="4">
        <v>45</v>
      </c>
      <c r="L676" s="4" t="s">
        <v>7</v>
      </c>
      <c r="M676" s="4">
        <v>2</v>
      </c>
      <c r="N676" s="5">
        <v>30</v>
      </c>
      <c r="O676">
        <f>(M676*N676)</f>
        <v>60</v>
      </c>
      <c r="P676">
        <f>O676*$S$3</f>
        <v>0.89999999999999991</v>
      </c>
      <c r="Q676">
        <f>O676*$S$4</f>
        <v>1.2</v>
      </c>
    </row>
    <row r="677" spans="1:17">
      <c r="A677" s="2">
        <v>676</v>
      </c>
      <c r="B677" s="4">
        <f>DAY(G677)</f>
        <v>19</v>
      </c>
      <c r="C677">
        <f>MONTH(G677)</f>
        <v>7</v>
      </c>
      <c r="D677">
        <f>YEAR(G677)</f>
        <v>2023</v>
      </c>
      <c r="E677" t="str">
        <f>TEXT(G677,"DDDD")</f>
        <v>Wednesday</v>
      </c>
      <c r="F677" t="str">
        <f>TEXT(G677,"MMMM")</f>
        <v>July</v>
      </c>
      <c r="G677" s="3">
        <v>45126</v>
      </c>
      <c r="H677" s="4" t="s">
        <v>709</v>
      </c>
      <c r="I677" s="4" t="s">
        <v>4</v>
      </c>
      <c r="J677" s="4" t="str">
        <f>IF(K677&lt;30, "Young Adult","Adult")</f>
        <v>Adult</v>
      </c>
      <c r="K677" s="4">
        <v>63</v>
      </c>
      <c r="L677" s="4" t="s">
        <v>8</v>
      </c>
      <c r="M677" s="4">
        <v>3</v>
      </c>
      <c r="N677" s="5">
        <v>500</v>
      </c>
      <c r="O677">
        <f>(M677*N677)</f>
        <v>1500</v>
      </c>
      <c r="P677">
        <f>O677*$S$3</f>
        <v>22.5</v>
      </c>
      <c r="Q677">
        <f>O677*$S$4</f>
        <v>30</v>
      </c>
    </row>
    <row r="678" spans="1:17">
      <c r="A678" s="2">
        <v>677</v>
      </c>
      <c r="B678" s="4">
        <f>DAY(G678)</f>
        <v>27</v>
      </c>
      <c r="C678">
        <f>MONTH(G678)</f>
        <v>10</v>
      </c>
      <c r="D678">
        <f>YEAR(G678)</f>
        <v>2023</v>
      </c>
      <c r="E678" t="str">
        <f>TEXT(G678,"DDDD")</f>
        <v>Friday</v>
      </c>
      <c r="F678" t="str">
        <f>TEXT(G678,"MMMM")</f>
        <v>October</v>
      </c>
      <c r="G678" s="3">
        <v>45226</v>
      </c>
      <c r="H678" s="4" t="s">
        <v>710</v>
      </c>
      <c r="I678" s="4" t="s">
        <v>3</v>
      </c>
      <c r="J678" s="4" t="str">
        <f>IF(K678&lt;30, "Young Adult","Adult")</f>
        <v>Young Adult</v>
      </c>
      <c r="K678" s="4">
        <v>19</v>
      </c>
      <c r="L678" s="4" t="s">
        <v>6</v>
      </c>
      <c r="M678" s="4">
        <v>3</v>
      </c>
      <c r="N678" s="5">
        <v>500</v>
      </c>
      <c r="O678">
        <f>(M678*N678)</f>
        <v>1500</v>
      </c>
      <c r="P678">
        <f>O678*$S$3</f>
        <v>22.5</v>
      </c>
      <c r="Q678">
        <f>O678*$S$4</f>
        <v>30</v>
      </c>
    </row>
    <row r="679" spans="1:17">
      <c r="A679" s="2">
        <v>678</v>
      </c>
      <c r="B679" s="4">
        <f>DAY(G679)</f>
        <v>23</v>
      </c>
      <c r="C679">
        <f>MONTH(G679)</f>
        <v>12</v>
      </c>
      <c r="D679">
        <f>YEAR(G679)</f>
        <v>2023</v>
      </c>
      <c r="E679" t="str">
        <f>TEXT(G679,"DDDD")</f>
        <v>Saturday</v>
      </c>
      <c r="F679" t="str">
        <f>TEXT(G679,"MMMM")</f>
        <v>December</v>
      </c>
      <c r="G679" s="3">
        <v>45283</v>
      </c>
      <c r="H679" s="4" t="s">
        <v>711</v>
      </c>
      <c r="I679" s="4" t="s">
        <v>3</v>
      </c>
      <c r="J679" s="4" t="str">
        <f>IF(K679&lt;30, "Young Adult","Adult")</f>
        <v>Adult</v>
      </c>
      <c r="K679" s="4">
        <v>60</v>
      </c>
      <c r="L679" s="4" t="s">
        <v>8</v>
      </c>
      <c r="M679" s="4">
        <v>3</v>
      </c>
      <c r="N679" s="5">
        <v>300</v>
      </c>
      <c r="O679">
        <f>(M679*N679)</f>
        <v>900</v>
      </c>
      <c r="P679">
        <f>O679*$S$3</f>
        <v>13.5</v>
      </c>
      <c r="Q679">
        <f>O679*$S$4</f>
        <v>18</v>
      </c>
    </row>
    <row r="680" spans="1:17">
      <c r="A680" s="2">
        <v>679</v>
      </c>
      <c r="B680" s="4">
        <f>DAY(G680)</f>
        <v>11</v>
      </c>
      <c r="C680">
        <f>MONTH(G680)</f>
        <v>1</v>
      </c>
      <c r="D680">
        <f>YEAR(G680)</f>
        <v>2023</v>
      </c>
      <c r="E680" t="str">
        <f>TEXT(G680,"DDDD")</f>
        <v>Wednesday</v>
      </c>
      <c r="F680" t="str">
        <f>TEXT(G680,"MMMM")</f>
        <v>January</v>
      </c>
      <c r="G680" s="3">
        <v>44937</v>
      </c>
      <c r="H680" s="4" t="s">
        <v>712</v>
      </c>
      <c r="I680" s="4" t="s">
        <v>3</v>
      </c>
      <c r="J680" s="4" t="str">
        <f>IF(K680&lt;30, "Young Adult","Adult")</f>
        <v>Young Adult</v>
      </c>
      <c r="K680" s="4">
        <v>18</v>
      </c>
      <c r="L680" s="4" t="s">
        <v>6</v>
      </c>
      <c r="M680" s="4">
        <v>3</v>
      </c>
      <c r="N680" s="5">
        <v>30</v>
      </c>
      <c r="O680">
        <f>(M680*N680)</f>
        <v>90</v>
      </c>
      <c r="P680">
        <f>O680*$S$3</f>
        <v>1.3499999999999999</v>
      </c>
      <c r="Q680">
        <f>O680*$S$4</f>
        <v>1.8</v>
      </c>
    </row>
    <row r="681" spans="1:17">
      <c r="A681" s="2">
        <v>680</v>
      </c>
      <c r="B681" s="4">
        <f>DAY(G681)</f>
        <v>22</v>
      </c>
      <c r="C681">
        <f>MONTH(G681)</f>
        <v>10</v>
      </c>
      <c r="D681">
        <f>YEAR(G681)</f>
        <v>2023</v>
      </c>
      <c r="E681" t="str">
        <f>TEXT(G681,"DDDD")</f>
        <v>Sunday</v>
      </c>
      <c r="F681" t="str">
        <f>TEXT(G681,"MMMM")</f>
        <v>October</v>
      </c>
      <c r="G681" s="3">
        <v>45221</v>
      </c>
      <c r="H681" s="4" t="s">
        <v>713</v>
      </c>
      <c r="I681" s="4" t="s">
        <v>3</v>
      </c>
      <c r="J681" s="4" t="str">
        <f>IF(K681&lt;30, "Young Adult","Adult")</f>
        <v>Adult</v>
      </c>
      <c r="K681" s="4">
        <v>53</v>
      </c>
      <c r="L681" s="4" t="s">
        <v>7</v>
      </c>
      <c r="M681" s="4">
        <v>3</v>
      </c>
      <c r="N681" s="5">
        <v>300</v>
      </c>
      <c r="O681">
        <f>(M681*N681)</f>
        <v>900</v>
      </c>
      <c r="P681">
        <f>O681*$S$3</f>
        <v>13.5</v>
      </c>
      <c r="Q681">
        <f>O681*$S$4</f>
        <v>18</v>
      </c>
    </row>
    <row r="682" spans="1:17">
      <c r="A682" s="2">
        <v>681</v>
      </c>
      <c r="B682" s="4">
        <f>DAY(G682)</f>
        <v>14</v>
      </c>
      <c r="C682">
        <f>MONTH(G682)</f>
        <v>7</v>
      </c>
      <c r="D682">
        <f>YEAR(G682)</f>
        <v>2023</v>
      </c>
      <c r="E682" t="str">
        <f>TEXT(G682,"DDDD")</f>
        <v>Friday</v>
      </c>
      <c r="F682" t="str">
        <f>TEXT(G682,"MMMM")</f>
        <v>July</v>
      </c>
      <c r="G682" s="3">
        <v>45121</v>
      </c>
      <c r="H682" s="4" t="s">
        <v>714</v>
      </c>
      <c r="I682" s="4" t="s">
        <v>3</v>
      </c>
      <c r="J682" s="4" t="str">
        <f>IF(K682&lt;30, "Young Adult","Adult")</f>
        <v>Adult</v>
      </c>
      <c r="K682" s="4">
        <v>43</v>
      </c>
      <c r="L682" s="4" t="s">
        <v>8</v>
      </c>
      <c r="M682" s="4">
        <v>2</v>
      </c>
      <c r="N682" s="5">
        <v>30</v>
      </c>
      <c r="O682">
        <f>(M682*N682)</f>
        <v>60</v>
      </c>
      <c r="P682">
        <f>O682*$S$3</f>
        <v>0.89999999999999991</v>
      </c>
      <c r="Q682">
        <f>O682*$S$4</f>
        <v>1.2</v>
      </c>
    </row>
    <row r="683" spans="1:17">
      <c r="A683" s="2">
        <v>682</v>
      </c>
      <c r="B683" s="4">
        <f>DAY(G683)</f>
        <v>2</v>
      </c>
      <c r="C683">
        <f>MONTH(G683)</f>
        <v>9</v>
      </c>
      <c r="D683">
        <f>YEAR(G683)</f>
        <v>2023</v>
      </c>
      <c r="E683" t="str">
        <f>TEXT(G683,"DDDD")</f>
        <v>Saturday</v>
      </c>
      <c r="F683" t="str">
        <f>TEXT(G683,"MMMM")</f>
        <v>September</v>
      </c>
      <c r="G683" s="3">
        <v>45171</v>
      </c>
      <c r="H683" s="4" t="s">
        <v>715</v>
      </c>
      <c r="I683" s="4" t="s">
        <v>4</v>
      </c>
      <c r="J683" s="4" t="str">
        <f>IF(K683&lt;30, "Young Adult","Adult")</f>
        <v>Adult</v>
      </c>
      <c r="K683" s="4">
        <v>46</v>
      </c>
      <c r="L683" s="4" t="s">
        <v>6</v>
      </c>
      <c r="M683" s="4">
        <v>4</v>
      </c>
      <c r="N683" s="5">
        <v>300</v>
      </c>
      <c r="O683">
        <f>(M683*N683)</f>
        <v>1200</v>
      </c>
      <c r="P683">
        <f>O683*$S$3</f>
        <v>18</v>
      </c>
      <c r="Q683">
        <f>O683*$S$4</f>
        <v>24</v>
      </c>
    </row>
    <row r="684" spans="1:17">
      <c r="A684" s="2">
        <v>683</v>
      </c>
      <c r="B684" s="4">
        <f>DAY(G684)</f>
        <v>4</v>
      </c>
      <c r="C684">
        <f>MONTH(G684)</f>
        <v>1</v>
      </c>
      <c r="D684">
        <f>YEAR(G684)</f>
        <v>2023</v>
      </c>
      <c r="E684" t="str">
        <f>TEXT(G684,"DDDD")</f>
        <v>Wednesday</v>
      </c>
      <c r="F684" t="str">
        <f>TEXT(G684,"MMMM")</f>
        <v>January</v>
      </c>
      <c r="G684" s="3">
        <v>44930</v>
      </c>
      <c r="H684" s="4" t="s">
        <v>716</v>
      </c>
      <c r="I684" s="4" t="s">
        <v>4</v>
      </c>
      <c r="J684" s="4" t="str">
        <f>IF(K684&lt;30, "Young Adult","Adult")</f>
        <v>Adult</v>
      </c>
      <c r="K684" s="4">
        <v>38</v>
      </c>
      <c r="L684" s="4" t="s">
        <v>6</v>
      </c>
      <c r="M684" s="4">
        <v>2</v>
      </c>
      <c r="N684" s="5">
        <v>500</v>
      </c>
      <c r="O684">
        <f>(M684*N684)</f>
        <v>1000</v>
      </c>
      <c r="P684">
        <f>O684*$S$3</f>
        <v>15</v>
      </c>
      <c r="Q684">
        <f>O684*$S$4</f>
        <v>20</v>
      </c>
    </row>
    <row r="685" spans="1:17">
      <c r="A685" s="2">
        <v>684</v>
      </c>
      <c r="B685" s="4">
        <f>DAY(G685)</f>
        <v>30</v>
      </c>
      <c r="C685">
        <f>MONTH(G685)</f>
        <v>6</v>
      </c>
      <c r="D685">
        <f>YEAR(G685)</f>
        <v>2023</v>
      </c>
      <c r="E685" t="str">
        <f>TEXT(G685,"DDDD")</f>
        <v>Friday</v>
      </c>
      <c r="F685" t="str">
        <f>TEXT(G685,"MMMM")</f>
        <v>June</v>
      </c>
      <c r="G685" s="3">
        <v>45107</v>
      </c>
      <c r="H685" s="4" t="s">
        <v>717</v>
      </c>
      <c r="I685" s="4" t="s">
        <v>3</v>
      </c>
      <c r="J685" s="4" t="str">
        <f>IF(K685&lt;30, "Young Adult","Adult")</f>
        <v>Young Adult</v>
      </c>
      <c r="K685" s="4">
        <v>28</v>
      </c>
      <c r="L685" s="4" t="s">
        <v>7</v>
      </c>
      <c r="M685" s="4">
        <v>2</v>
      </c>
      <c r="N685" s="5">
        <v>500</v>
      </c>
      <c r="O685">
        <f>(M685*N685)</f>
        <v>1000</v>
      </c>
      <c r="P685">
        <f>O685*$S$3</f>
        <v>15</v>
      </c>
      <c r="Q685">
        <f>O685*$S$4</f>
        <v>20</v>
      </c>
    </row>
    <row r="686" spans="1:17">
      <c r="A686" s="2">
        <v>685</v>
      </c>
      <c r="B686" s="4">
        <f>DAY(G686)</f>
        <v>2</v>
      </c>
      <c r="C686">
        <f>MONTH(G686)</f>
        <v>6</v>
      </c>
      <c r="D686">
        <f>YEAR(G686)</f>
        <v>2023</v>
      </c>
      <c r="E686" t="str">
        <f>TEXT(G686,"DDDD")</f>
        <v>Friday</v>
      </c>
      <c r="F686" t="str">
        <f>TEXT(G686,"MMMM")</f>
        <v>June</v>
      </c>
      <c r="G686" s="3">
        <v>45079</v>
      </c>
      <c r="H686" s="4" t="s">
        <v>718</v>
      </c>
      <c r="I686" s="4" t="s">
        <v>4</v>
      </c>
      <c r="J686" s="4" t="str">
        <f>IF(K686&lt;30, "Young Adult","Adult")</f>
        <v>Adult</v>
      </c>
      <c r="K686" s="4">
        <v>57</v>
      </c>
      <c r="L686" s="4" t="s">
        <v>8</v>
      </c>
      <c r="M686" s="4">
        <v>2</v>
      </c>
      <c r="N686" s="5">
        <v>25</v>
      </c>
      <c r="O686">
        <f>(M686*N686)</f>
        <v>50</v>
      </c>
      <c r="P686">
        <f>O686*$S$3</f>
        <v>0.75</v>
      </c>
      <c r="Q686">
        <f>O686*$S$4</f>
        <v>1</v>
      </c>
    </row>
    <row r="687" spans="1:17">
      <c r="A687" s="2">
        <v>686</v>
      </c>
      <c r="B687" s="4">
        <f>DAY(G687)</f>
        <v>19</v>
      </c>
      <c r="C687">
        <f>MONTH(G687)</f>
        <v>7</v>
      </c>
      <c r="D687">
        <f>YEAR(G687)</f>
        <v>2023</v>
      </c>
      <c r="E687" t="str">
        <f>TEXT(G687,"DDDD")</f>
        <v>Wednesday</v>
      </c>
      <c r="F687" t="str">
        <f>TEXT(G687,"MMMM")</f>
        <v>July</v>
      </c>
      <c r="G687" s="3">
        <v>45126</v>
      </c>
      <c r="H687" s="4" t="s">
        <v>719</v>
      </c>
      <c r="I687" s="4" t="s">
        <v>3</v>
      </c>
      <c r="J687" s="4" t="str">
        <f>IF(K687&lt;30, "Young Adult","Adult")</f>
        <v>Young Adult</v>
      </c>
      <c r="K687" s="4">
        <v>28</v>
      </c>
      <c r="L687" s="4" t="s">
        <v>8</v>
      </c>
      <c r="M687" s="4">
        <v>4</v>
      </c>
      <c r="N687" s="5">
        <v>50</v>
      </c>
      <c r="O687">
        <f>(M687*N687)</f>
        <v>200</v>
      </c>
      <c r="P687">
        <f>O687*$S$3</f>
        <v>3</v>
      </c>
      <c r="Q687">
        <f>O687*$S$4</f>
        <v>4</v>
      </c>
    </row>
    <row r="688" spans="1:17">
      <c r="A688" s="2">
        <v>687</v>
      </c>
      <c r="B688" s="4">
        <f>DAY(G688)</f>
        <v>3</v>
      </c>
      <c r="C688">
        <f>MONTH(G688)</f>
        <v>8</v>
      </c>
      <c r="D688">
        <f>YEAR(G688)</f>
        <v>2023</v>
      </c>
      <c r="E688" t="str">
        <f>TEXT(G688,"DDDD")</f>
        <v>Thursday</v>
      </c>
      <c r="F688" t="str">
        <f>TEXT(G688,"MMMM")</f>
        <v>August</v>
      </c>
      <c r="G688" s="3">
        <v>45141</v>
      </c>
      <c r="H688" s="4" t="s">
        <v>720</v>
      </c>
      <c r="I688" s="4" t="s">
        <v>3</v>
      </c>
      <c r="J688" s="4" t="str">
        <f>IF(K688&lt;30, "Young Adult","Adult")</f>
        <v>Adult</v>
      </c>
      <c r="K688" s="4">
        <v>53</v>
      </c>
      <c r="L688" s="4" t="s">
        <v>8</v>
      </c>
      <c r="M688" s="4">
        <v>1</v>
      </c>
      <c r="N688" s="5">
        <v>300</v>
      </c>
      <c r="O688">
        <f>(M688*N688)</f>
        <v>300</v>
      </c>
      <c r="P688">
        <f>O688*$S$3</f>
        <v>4.5</v>
      </c>
      <c r="Q688">
        <f>O688*$S$4</f>
        <v>6</v>
      </c>
    </row>
    <row r="689" spans="1:17">
      <c r="A689" s="2">
        <v>688</v>
      </c>
      <c r="B689" s="4">
        <f>DAY(G689)</f>
        <v>3</v>
      </c>
      <c r="C689">
        <f>MONTH(G689)</f>
        <v>10</v>
      </c>
      <c r="D689">
        <f>YEAR(G689)</f>
        <v>2023</v>
      </c>
      <c r="E689" t="str">
        <f>TEXT(G689,"DDDD")</f>
        <v>Tuesday</v>
      </c>
      <c r="F689" t="str">
        <f>TEXT(G689,"MMMM")</f>
        <v>October</v>
      </c>
      <c r="G689" s="3">
        <v>45202</v>
      </c>
      <c r="H689" s="4" t="s">
        <v>721</v>
      </c>
      <c r="I689" s="4" t="s">
        <v>4</v>
      </c>
      <c r="J689" s="4" t="str">
        <f>IF(K689&lt;30, "Young Adult","Adult")</f>
        <v>Adult</v>
      </c>
      <c r="K689" s="4">
        <v>56</v>
      </c>
      <c r="L689" s="4" t="s">
        <v>7</v>
      </c>
      <c r="M689" s="4">
        <v>4</v>
      </c>
      <c r="N689" s="5">
        <v>25</v>
      </c>
      <c r="O689">
        <f>(M689*N689)</f>
        <v>100</v>
      </c>
      <c r="P689">
        <f>O689*$S$3</f>
        <v>1.5</v>
      </c>
      <c r="Q689">
        <f>O689*$S$4</f>
        <v>2</v>
      </c>
    </row>
    <row r="690" spans="1:17">
      <c r="A690" s="2">
        <v>689</v>
      </c>
      <c r="B690" s="4">
        <f>DAY(G690)</f>
        <v>7</v>
      </c>
      <c r="C690">
        <f>MONTH(G690)</f>
        <v>10</v>
      </c>
      <c r="D690">
        <f>YEAR(G690)</f>
        <v>2023</v>
      </c>
      <c r="E690" t="str">
        <f>TEXT(G690,"DDDD")</f>
        <v>Saturday</v>
      </c>
      <c r="F690" t="str">
        <f>TEXT(G690,"MMMM")</f>
        <v>October</v>
      </c>
      <c r="G690" s="3">
        <v>45206</v>
      </c>
      <c r="H690" s="4" t="s">
        <v>722</v>
      </c>
      <c r="I690" s="4" t="s">
        <v>4</v>
      </c>
      <c r="J690" s="4" t="str">
        <f>IF(K690&lt;30, "Young Adult","Adult")</f>
        <v>Adult</v>
      </c>
      <c r="K690" s="4">
        <v>57</v>
      </c>
      <c r="L690" s="4" t="s">
        <v>8</v>
      </c>
      <c r="M690" s="4">
        <v>2</v>
      </c>
      <c r="N690" s="5">
        <v>50</v>
      </c>
      <c r="O690">
        <f>(M690*N690)</f>
        <v>100</v>
      </c>
      <c r="P690">
        <f>O690*$S$3</f>
        <v>1.5</v>
      </c>
      <c r="Q690">
        <f>O690*$S$4</f>
        <v>2</v>
      </c>
    </row>
    <row r="691" spans="1:17">
      <c r="A691" s="2">
        <v>690</v>
      </c>
      <c r="B691" s="4">
        <f>DAY(G691)</f>
        <v>5</v>
      </c>
      <c r="C691">
        <f>MONTH(G691)</f>
        <v>11</v>
      </c>
      <c r="D691">
        <f>YEAR(G691)</f>
        <v>2023</v>
      </c>
      <c r="E691" t="str">
        <f>TEXT(G691,"DDDD")</f>
        <v>Sunday</v>
      </c>
      <c r="F691" t="str">
        <f>TEXT(G691,"MMMM")</f>
        <v>November</v>
      </c>
      <c r="G691" s="3">
        <v>45235</v>
      </c>
      <c r="H691" s="4" t="s">
        <v>723</v>
      </c>
      <c r="I691" s="4" t="s">
        <v>3</v>
      </c>
      <c r="J691" s="4" t="str">
        <f>IF(K691&lt;30, "Young Adult","Adult")</f>
        <v>Adult</v>
      </c>
      <c r="K691" s="4">
        <v>52</v>
      </c>
      <c r="L691" s="4" t="s">
        <v>7</v>
      </c>
      <c r="M691" s="4">
        <v>3</v>
      </c>
      <c r="N691" s="5">
        <v>300</v>
      </c>
      <c r="O691">
        <f>(M691*N691)</f>
        <v>900</v>
      </c>
      <c r="P691">
        <f>O691*$S$3</f>
        <v>13.5</v>
      </c>
      <c r="Q691">
        <f>O691*$S$4</f>
        <v>18</v>
      </c>
    </row>
    <row r="692" spans="1:17">
      <c r="A692" s="2">
        <v>691</v>
      </c>
      <c r="B692" s="4">
        <f>DAY(G692)</f>
        <v>23</v>
      </c>
      <c r="C692">
        <f>MONTH(G692)</f>
        <v>4</v>
      </c>
      <c r="D692">
        <f>YEAR(G692)</f>
        <v>2023</v>
      </c>
      <c r="E692" t="str">
        <f>TEXT(G692,"DDDD")</f>
        <v>Sunday</v>
      </c>
      <c r="F692" t="str">
        <f>TEXT(G692,"MMMM")</f>
        <v>April</v>
      </c>
      <c r="G692" s="3">
        <v>45039</v>
      </c>
      <c r="H692" s="4" t="s">
        <v>724</v>
      </c>
      <c r="I692" s="4" t="s">
        <v>3</v>
      </c>
      <c r="J692" s="4" t="str">
        <f>IF(K692&lt;30, "Young Adult","Adult")</f>
        <v>Adult</v>
      </c>
      <c r="K692" s="4">
        <v>51</v>
      </c>
      <c r="L692" s="4" t="s">
        <v>7</v>
      </c>
      <c r="M692" s="4">
        <v>3</v>
      </c>
      <c r="N692" s="5">
        <v>30</v>
      </c>
      <c r="O692">
        <f>(M692*N692)</f>
        <v>90</v>
      </c>
      <c r="P692">
        <f>O692*$S$3</f>
        <v>1.3499999999999999</v>
      </c>
      <c r="Q692">
        <f>O692*$S$4</f>
        <v>1.8</v>
      </c>
    </row>
    <row r="693" spans="1:17">
      <c r="A693" s="2">
        <v>692</v>
      </c>
      <c r="B693" s="4">
        <f>DAY(G693)</f>
        <v>7</v>
      </c>
      <c r="C693">
        <f>MONTH(G693)</f>
        <v>9</v>
      </c>
      <c r="D693">
        <f>YEAR(G693)</f>
        <v>2023</v>
      </c>
      <c r="E693" t="str">
        <f>TEXT(G693,"DDDD")</f>
        <v>Thursday</v>
      </c>
      <c r="F693" t="str">
        <f>TEXT(G693,"MMMM")</f>
        <v>September</v>
      </c>
      <c r="G693" s="3">
        <v>45176</v>
      </c>
      <c r="H693" s="4" t="s">
        <v>725</v>
      </c>
      <c r="I693" s="4" t="s">
        <v>3</v>
      </c>
      <c r="J693" s="4" t="str">
        <f>IF(K693&lt;30, "Young Adult","Adult")</f>
        <v>Adult</v>
      </c>
      <c r="K693" s="4">
        <v>64</v>
      </c>
      <c r="L693" s="4" t="s">
        <v>7</v>
      </c>
      <c r="M693" s="4">
        <v>2</v>
      </c>
      <c r="N693" s="5">
        <v>50</v>
      </c>
      <c r="O693">
        <f>(M693*N693)</f>
        <v>100</v>
      </c>
      <c r="P693">
        <f>O693*$S$3</f>
        <v>1.5</v>
      </c>
      <c r="Q693">
        <f>O693*$S$4</f>
        <v>2</v>
      </c>
    </row>
    <row r="694" spans="1:17">
      <c r="A694" s="2">
        <v>693</v>
      </c>
      <c r="B694" s="4">
        <f>DAY(G694)</f>
        <v>23</v>
      </c>
      <c r="C694">
        <f>MONTH(G694)</f>
        <v>4</v>
      </c>
      <c r="D694">
        <f>YEAR(G694)</f>
        <v>2023</v>
      </c>
      <c r="E694" t="str">
        <f>TEXT(G694,"DDDD")</f>
        <v>Sunday</v>
      </c>
      <c r="F694" t="str">
        <f>TEXT(G694,"MMMM")</f>
        <v>April</v>
      </c>
      <c r="G694" s="3">
        <v>45039</v>
      </c>
      <c r="H694" s="4" t="s">
        <v>726</v>
      </c>
      <c r="I694" s="4" t="s">
        <v>4</v>
      </c>
      <c r="J694" s="4" t="str">
        <f>IF(K694&lt;30, "Young Adult","Adult")</f>
        <v>Adult</v>
      </c>
      <c r="K694" s="4">
        <v>41</v>
      </c>
      <c r="L694" s="4" t="s">
        <v>6</v>
      </c>
      <c r="M694" s="4">
        <v>3</v>
      </c>
      <c r="N694" s="5">
        <v>500</v>
      </c>
      <c r="O694">
        <f>(M694*N694)</f>
        <v>1500</v>
      </c>
      <c r="P694">
        <f>O694*$S$3</f>
        <v>22.5</v>
      </c>
      <c r="Q694">
        <f>O694*$S$4</f>
        <v>30</v>
      </c>
    </row>
    <row r="695" spans="1:17">
      <c r="A695" s="2">
        <v>694</v>
      </c>
      <c r="B695" s="4">
        <f>DAY(G695)</f>
        <v>20</v>
      </c>
      <c r="C695">
        <f>MONTH(G695)</f>
        <v>5</v>
      </c>
      <c r="D695">
        <f>YEAR(G695)</f>
        <v>2023</v>
      </c>
      <c r="E695" t="str">
        <f>TEXT(G695,"DDDD")</f>
        <v>Saturday</v>
      </c>
      <c r="F695" t="str">
        <f>TEXT(G695,"MMMM")</f>
        <v>May</v>
      </c>
      <c r="G695" s="3">
        <v>45066</v>
      </c>
      <c r="H695" s="4" t="s">
        <v>727</v>
      </c>
      <c r="I695" s="4" t="s">
        <v>3</v>
      </c>
      <c r="J695" s="4" t="str">
        <f>IF(K695&lt;30, "Young Adult","Adult")</f>
        <v>Adult</v>
      </c>
      <c r="K695" s="4">
        <v>39</v>
      </c>
      <c r="L695" s="4" t="s">
        <v>8</v>
      </c>
      <c r="M695" s="4">
        <v>2</v>
      </c>
      <c r="N695" s="5">
        <v>25</v>
      </c>
      <c r="O695">
        <f>(M695*N695)</f>
        <v>50</v>
      </c>
      <c r="P695">
        <f>O695*$S$3</f>
        <v>0.75</v>
      </c>
      <c r="Q695">
        <f>O695*$S$4</f>
        <v>1</v>
      </c>
    </row>
    <row r="696" spans="1:17">
      <c r="A696" s="2">
        <v>695</v>
      </c>
      <c r="B696" s="4">
        <f>DAY(G696)</f>
        <v>12</v>
      </c>
      <c r="C696">
        <f>MONTH(G696)</f>
        <v>8</v>
      </c>
      <c r="D696">
        <f>YEAR(G696)</f>
        <v>2023</v>
      </c>
      <c r="E696" t="str">
        <f>TEXT(G696,"DDDD")</f>
        <v>Saturday</v>
      </c>
      <c r="F696" t="str">
        <f>TEXT(G696,"MMMM")</f>
        <v>August</v>
      </c>
      <c r="G696" s="3">
        <v>45150</v>
      </c>
      <c r="H696" s="4" t="s">
        <v>728</v>
      </c>
      <c r="I696" s="4" t="s">
        <v>3</v>
      </c>
      <c r="J696" s="4" t="str">
        <f>IF(K696&lt;30, "Young Adult","Adult")</f>
        <v>Young Adult</v>
      </c>
      <c r="K696" s="4">
        <v>22</v>
      </c>
      <c r="L696" s="4" t="s">
        <v>8</v>
      </c>
      <c r="M696" s="4">
        <v>3</v>
      </c>
      <c r="N696" s="5">
        <v>50</v>
      </c>
      <c r="O696">
        <f>(M696*N696)</f>
        <v>150</v>
      </c>
      <c r="P696">
        <f>O696*$S$3</f>
        <v>2.25</v>
      </c>
      <c r="Q696">
        <f>O696*$S$4</f>
        <v>3</v>
      </c>
    </row>
    <row r="697" spans="1:17">
      <c r="A697" s="2">
        <v>696</v>
      </c>
      <c r="B697" s="4">
        <f>DAY(G697)</f>
        <v>6</v>
      </c>
      <c r="C697">
        <f>MONTH(G697)</f>
        <v>9</v>
      </c>
      <c r="D697">
        <f>YEAR(G697)</f>
        <v>2023</v>
      </c>
      <c r="E697" t="str">
        <f>TEXT(G697,"DDDD")</f>
        <v>Wednesday</v>
      </c>
      <c r="F697" t="str">
        <f>TEXT(G697,"MMMM")</f>
        <v>September</v>
      </c>
      <c r="G697" s="3">
        <v>45175</v>
      </c>
      <c r="H697" s="4" t="s">
        <v>729</v>
      </c>
      <c r="I697" s="4" t="s">
        <v>3</v>
      </c>
      <c r="J697" s="4" t="str">
        <f>IF(K697&lt;30, "Young Adult","Adult")</f>
        <v>Adult</v>
      </c>
      <c r="K697" s="4">
        <v>50</v>
      </c>
      <c r="L697" s="4" t="s">
        <v>7</v>
      </c>
      <c r="M697" s="4">
        <v>4</v>
      </c>
      <c r="N697" s="5">
        <v>50</v>
      </c>
      <c r="O697">
        <f>(M697*N697)</f>
        <v>200</v>
      </c>
      <c r="P697">
        <f>O697*$S$3</f>
        <v>3</v>
      </c>
      <c r="Q697">
        <f>O697*$S$4</f>
        <v>4</v>
      </c>
    </row>
    <row r="698" spans="1:17">
      <c r="A698" s="2">
        <v>697</v>
      </c>
      <c r="B698" s="4">
        <f>DAY(G698)</f>
        <v>15</v>
      </c>
      <c r="C698">
        <f>MONTH(G698)</f>
        <v>1</v>
      </c>
      <c r="D698">
        <f>YEAR(G698)</f>
        <v>2023</v>
      </c>
      <c r="E698" t="str">
        <f>TEXT(G698,"DDDD")</f>
        <v>Sunday</v>
      </c>
      <c r="F698" t="str">
        <f>TEXT(G698,"MMMM")</f>
        <v>January</v>
      </c>
      <c r="G698" s="3">
        <v>44941</v>
      </c>
      <c r="H698" s="4" t="s">
        <v>730</v>
      </c>
      <c r="I698" s="4" t="s">
        <v>4</v>
      </c>
      <c r="J698" s="4" t="str">
        <f>IF(K698&lt;30, "Young Adult","Adult")</f>
        <v>Adult</v>
      </c>
      <c r="K698" s="4">
        <v>53</v>
      </c>
      <c r="L698" s="4" t="s">
        <v>7</v>
      </c>
      <c r="M698" s="4">
        <v>1</v>
      </c>
      <c r="N698" s="5">
        <v>500</v>
      </c>
      <c r="O698">
        <f>(M698*N698)</f>
        <v>500</v>
      </c>
      <c r="P698">
        <f>O698*$S$3</f>
        <v>7.5</v>
      </c>
      <c r="Q698">
        <f>O698*$S$4</f>
        <v>10</v>
      </c>
    </row>
    <row r="699" spans="1:17">
      <c r="A699" s="2">
        <v>698</v>
      </c>
      <c r="B699" s="4">
        <f>DAY(G699)</f>
        <v>19</v>
      </c>
      <c r="C699">
        <f>MONTH(G699)</f>
        <v>7</v>
      </c>
      <c r="D699">
        <f>YEAR(G699)</f>
        <v>2023</v>
      </c>
      <c r="E699" t="str">
        <f>TEXT(G699,"DDDD")</f>
        <v>Wednesday</v>
      </c>
      <c r="F699" t="str">
        <f>TEXT(G699,"MMMM")</f>
        <v>July</v>
      </c>
      <c r="G699" s="3">
        <v>45126</v>
      </c>
      <c r="H699" s="4" t="s">
        <v>731</v>
      </c>
      <c r="I699" s="4" t="s">
        <v>3</v>
      </c>
      <c r="J699" s="4" t="str">
        <f>IF(K699&lt;30, "Young Adult","Adult")</f>
        <v>Adult</v>
      </c>
      <c r="K699" s="4">
        <v>64</v>
      </c>
      <c r="L699" s="4" t="s">
        <v>8</v>
      </c>
      <c r="M699" s="4">
        <v>1</v>
      </c>
      <c r="N699" s="5">
        <v>300</v>
      </c>
      <c r="O699">
        <f>(M699*N699)</f>
        <v>300</v>
      </c>
      <c r="P699">
        <f>O699*$S$3</f>
        <v>4.5</v>
      </c>
      <c r="Q699">
        <f>O699*$S$4</f>
        <v>6</v>
      </c>
    </row>
    <row r="700" spans="1:17">
      <c r="A700" s="2">
        <v>699</v>
      </c>
      <c r="B700" s="4">
        <f>DAY(G700)</f>
        <v>22</v>
      </c>
      <c r="C700">
        <f>MONTH(G700)</f>
        <v>6</v>
      </c>
      <c r="D700">
        <f>YEAR(G700)</f>
        <v>2023</v>
      </c>
      <c r="E700" t="str">
        <f>TEXT(G700,"DDDD")</f>
        <v>Thursday</v>
      </c>
      <c r="F700" t="str">
        <f>TEXT(G700,"MMMM")</f>
        <v>June</v>
      </c>
      <c r="G700" s="3">
        <v>45099</v>
      </c>
      <c r="H700" s="4" t="s">
        <v>732</v>
      </c>
      <c r="I700" s="4" t="s">
        <v>3</v>
      </c>
      <c r="J700" s="4" t="str">
        <f>IF(K700&lt;30, "Young Adult","Adult")</f>
        <v>Adult</v>
      </c>
      <c r="K700" s="4">
        <v>37</v>
      </c>
      <c r="L700" s="4" t="s">
        <v>7</v>
      </c>
      <c r="M700" s="4">
        <v>4</v>
      </c>
      <c r="N700" s="5">
        <v>30</v>
      </c>
      <c r="O700">
        <f>(M700*N700)</f>
        <v>120</v>
      </c>
      <c r="P700">
        <f>O700*$S$3</f>
        <v>1.7999999999999998</v>
      </c>
      <c r="Q700">
        <f>O700*$S$4</f>
        <v>2.4</v>
      </c>
    </row>
    <row r="701" spans="1:17">
      <c r="A701" s="2">
        <v>700</v>
      </c>
      <c r="B701" s="4">
        <f>DAY(G701)</f>
        <v>9</v>
      </c>
      <c r="C701">
        <f>MONTH(G701)</f>
        <v>12</v>
      </c>
      <c r="D701">
        <f>YEAR(G701)</f>
        <v>2023</v>
      </c>
      <c r="E701" t="str">
        <f>TEXT(G701,"DDDD")</f>
        <v>Saturday</v>
      </c>
      <c r="F701" t="str">
        <f>TEXT(G701,"MMMM")</f>
        <v>December</v>
      </c>
      <c r="G701" s="3">
        <v>45269</v>
      </c>
      <c r="H701" s="4" t="s">
        <v>733</v>
      </c>
      <c r="I701" s="4" t="s">
        <v>4</v>
      </c>
      <c r="J701" s="4" t="str">
        <f>IF(K701&lt;30, "Young Adult","Adult")</f>
        <v>Adult</v>
      </c>
      <c r="K701" s="4">
        <v>36</v>
      </c>
      <c r="L701" s="4" t="s">
        <v>8</v>
      </c>
      <c r="M701" s="4">
        <v>4</v>
      </c>
      <c r="N701" s="5">
        <v>500</v>
      </c>
      <c r="O701">
        <f>(M701*N701)</f>
        <v>2000</v>
      </c>
      <c r="P701">
        <f>O701*$S$3</f>
        <v>30</v>
      </c>
      <c r="Q701">
        <f>O701*$S$4</f>
        <v>40</v>
      </c>
    </row>
    <row r="702" spans="1:17">
      <c r="A702" s="2">
        <v>701</v>
      </c>
      <c r="B702" s="4">
        <f>DAY(G702)</f>
        <v>14</v>
      </c>
      <c r="C702">
        <f>MONTH(G702)</f>
        <v>12</v>
      </c>
      <c r="D702">
        <f>YEAR(G702)</f>
        <v>2023</v>
      </c>
      <c r="E702" t="str">
        <f>TEXT(G702,"DDDD")</f>
        <v>Thursday</v>
      </c>
      <c r="F702" t="str">
        <f>TEXT(G702,"MMMM")</f>
        <v>December</v>
      </c>
      <c r="G702" s="3">
        <v>45274</v>
      </c>
      <c r="H702" s="4" t="s">
        <v>734</v>
      </c>
      <c r="I702" s="4" t="s">
        <v>3</v>
      </c>
      <c r="J702" s="4" t="str">
        <f>IF(K702&lt;30, "Young Adult","Adult")</f>
        <v>Adult</v>
      </c>
      <c r="K702" s="4">
        <v>52</v>
      </c>
      <c r="L702" s="4" t="s">
        <v>6</v>
      </c>
      <c r="M702" s="4">
        <v>2</v>
      </c>
      <c r="N702" s="5">
        <v>30</v>
      </c>
      <c r="O702">
        <f>(M702*N702)</f>
        <v>60</v>
      </c>
      <c r="P702">
        <f>O702*$S$3</f>
        <v>0.89999999999999991</v>
      </c>
      <c r="Q702">
        <f>O702*$S$4</f>
        <v>1.2</v>
      </c>
    </row>
    <row r="703" spans="1:17">
      <c r="A703" s="2">
        <v>702</v>
      </c>
      <c r="B703" s="4">
        <f>DAY(G703)</f>
        <v>27</v>
      </c>
      <c r="C703">
        <f>MONTH(G703)</f>
        <v>7</v>
      </c>
      <c r="D703">
        <f>YEAR(G703)</f>
        <v>2023</v>
      </c>
      <c r="E703" t="str">
        <f>TEXT(G703,"DDDD")</f>
        <v>Thursday</v>
      </c>
      <c r="F703" t="str">
        <f>TEXT(G703,"MMMM")</f>
        <v>July</v>
      </c>
      <c r="G703" s="3">
        <v>45134</v>
      </c>
      <c r="H703" s="4" t="s">
        <v>735</v>
      </c>
      <c r="I703" s="4" t="s">
        <v>3</v>
      </c>
      <c r="J703" s="4" t="str">
        <f>IF(K703&lt;30, "Young Adult","Adult")</f>
        <v>Adult</v>
      </c>
      <c r="K703" s="4">
        <v>60</v>
      </c>
      <c r="L703" s="4" t="s">
        <v>7</v>
      </c>
      <c r="M703" s="4">
        <v>2</v>
      </c>
      <c r="N703" s="5">
        <v>300</v>
      </c>
      <c r="O703">
        <f>(M703*N703)</f>
        <v>600</v>
      </c>
      <c r="P703">
        <f>O703*$S$3</f>
        <v>9</v>
      </c>
      <c r="Q703">
        <f>O703*$S$4</f>
        <v>12</v>
      </c>
    </row>
    <row r="704" spans="1:17">
      <c r="A704" s="2">
        <v>703</v>
      </c>
      <c r="B704" s="4">
        <f>DAY(G704)</f>
        <v>26</v>
      </c>
      <c r="C704">
        <f>MONTH(G704)</f>
        <v>3</v>
      </c>
      <c r="D704">
        <f>YEAR(G704)</f>
        <v>2023</v>
      </c>
      <c r="E704" t="str">
        <f>TEXT(G704,"DDDD")</f>
        <v>Sunday</v>
      </c>
      <c r="F704" t="str">
        <f>TEXT(G704,"MMMM")</f>
        <v>March</v>
      </c>
      <c r="G704" s="3">
        <v>45011</v>
      </c>
      <c r="H704" s="4" t="s">
        <v>736</v>
      </c>
      <c r="I704" s="4" t="s">
        <v>4</v>
      </c>
      <c r="J704" s="4" t="str">
        <f>IF(K704&lt;30, "Young Adult","Adult")</f>
        <v>Adult</v>
      </c>
      <c r="K704" s="4">
        <v>34</v>
      </c>
      <c r="L704" s="4" t="s">
        <v>8</v>
      </c>
      <c r="M704" s="4">
        <v>2</v>
      </c>
      <c r="N704" s="5">
        <v>50</v>
      </c>
      <c r="O704">
        <f>(M704*N704)</f>
        <v>100</v>
      </c>
      <c r="P704">
        <f>O704*$S$3</f>
        <v>1.5</v>
      </c>
      <c r="Q704">
        <f>O704*$S$4</f>
        <v>2</v>
      </c>
    </row>
    <row r="705" spans="1:17">
      <c r="A705" s="2">
        <v>704</v>
      </c>
      <c r="B705" s="4">
        <f>DAY(G705)</f>
        <v>28</v>
      </c>
      <c r="C705">
        <f>MONTH(G705)</f>
        <v>8</v>
      </c>
      <c r="D705">
        <f>YEAR(G705)</f>
        <v>2023</v>
      </c>
      <c r="E705" t="str">
        <f>TEXT(G705,"DDDD")</f>
        <v>Monday</v>
      </c>
      <c r="F705" t="str">
        <f>TEXT(G705,"MMMM")</f>
        <v>August</v>
      </c>
      <c r="G705" s="3">
        <v>45166</v>
      </c>
      <c r="H705" s="4" t="s">
        <v>737</v>
      </c>
      <c r="I705" s="4" t="s">
        <v>3</v>
      </c>
      <c r="J705" s="4" t="str">
        <f>IF(K705&lt;30, "Young Adult","Adult")</f>
        <v>Adult</v>
      </c>
      <c r="K705" s="4">
        <v>62</v>
      </c>
      <c r="L705" s="4" t="s">
        <v>7</v>
      </c>
      <c r="M705" s="4">
        <v>3</v>
      </c>
      <c r="N705" s="5">
        <v>30</v>
      </c>
      <c r="O705">
        <f>(M705*N705)</f>
        <v>90</v>
      </c>
      <c r="P705">
        <f>O705*$S$3</f>
        <v>1.3499999999999999</v>
      </c>
      <c r="Q705">
        <f>O705*$S$4</f>
        <v>1.8</v>
      </c>
    </row>
    <row r="706" spans="1:17">
      <c r="A706" s="2">
        <v>705</v>
      </c>
      <c r="B706" s="4">
        <f>DAY(G706)</f>
        <v>7</v>
      </c>
      <c r="C706">
        <f>MONTH(G706)</f>
        <v>3</v>
      </c>
      <c r="D706">
        <f>YEAR(G706)</f>
        <v>2023</v>
      </c>
      <c r="E706" t="str">
        <f>TEXT(G706,"DDDD")</f>
        <v>Tuesday</v>
      </c>
      <c r="F706" t="str">
        <f>TEXT(G706,"MMMM")</f>
        <v>March</v>
      </c>
      <c r="G706" s="3">
        <v>44992</v>
      </c>
      <c r="H706" s="4" t="s">
        <v>738</v>
      </c>
      <c r="I706" s="4" t="s">
        <v>4</v>
      </c>
      <c r="J706" s="4" t="str">
        <f>IF(K706&lt;30, "Young Adult","Adult")</f>
        <v>Adult</v>
      </c>
      <c r="K706" s="4">
        <v>60</v>
      </c>
      <c r="L706" s="4" t="s">
        <v>8</v>
      </c>
      <c r="M706" s="4">
        <v>2</v>
      </c>
      <c r="N706" s="5">
        <v>25</v>
      </c>
      <c r="O706">
        <f>(M706*N706)</f>
        <v>50</v>
      </c>
      <c r="P706">
        <f>O706*$S$3</f>
        <v>0.75</v>
      </c>
      <c r="Q706">
        <f>O706*$S$4</f>
        <v>1</v>
      </c>
    </row>
    <row r="707" spans="1:17">
      <c r="A707" s="2">
        <v>706</v>
      </c>
      <c r="B707" s="4">
        <f>DAY(G707)</f>
        <v>15</v>
      </c>
      <c r="C707">
        <f>MONTH(G707)</f>
        <v>11</v>
      </c>
      <c r="D707">
        <f>YEAR(G707)</f>
        <v>2023</v>
      </c>
      <c r="E707" t="str">
        <f>TEXT(G707,"DDDD")</f>
        <v>Wednesday</v>
      </c>
      <c r="F707" t="str">
        <f>TEXT(G707,"MMMM")</f>
        <v>November</v>
      </c>
      <c r="G707" s="3">
        <v>45245</v>
      </c>
      <c r="H707" s="4" t="s">
        <v>739</v>
      </c>
      <c r="I707" s="4" t="s">
        <v>4</v>
      </c>
      <c r="J707" s="4" t="str">
        <f>IF(K707&lt;30, "Young Adult","Adult")</f>
        <v>Adult</v>
      </c>
      <c r="K707" s="4">
        <v>51</v>
      </c>
      <c r="L707" s="4" t="s">
        <v>8</v>
      </c>
      <c r="M707" s="4">
        <v>4</v>
      </c>
      <c r="N707" s="5">
        <v>25</v>
      </c>
      <c r="O707">
        <f>(M707*N707)</f>
        <v>100</v>
      </c>
      <c r="P707">
        <f>O707*$S$3</f>
        <v>1.5</v>
      </c>
      <c r="Q707">
        <f>O707*$S$4</f>
        <v>2</v>
      </c>
    </row>
    <row r="708" spans="1:17">
      <c r="A708" s="2">
        <v>707</v>
      </c>
      <c r="B708" s="4">
        <f>DAY(G708)</f>
        <v>1</v>
      </c>
      <c r="C708">
        <f>MONTH(G708)</f>
        <v>10</v>
      </c>
      <c r="D708">
        <f>YEAR(G708)</f>
        <v>2023</v>
      </c>
      <c r="E708" t="str">
        <f>TEXT(G708,"DDDD")</f>
        <v>Sunday</v>
      </c>
      <c r="F708" t="str">
        <f>TEXT(G708,"MMMM")</f>
        <v>October</v>
      </c>
      <c r="G708" s="3">
        <v>45200</v>
      </c>
      <c r="H708" s="4" t="s">
        <v>740</v>
      </c>
      <c r="I708" s="4" t="s">
        <v>3</v>
      </c>
      <c r="J708" s="4" t="str">
        <f>IF(K708&lt;30, "Young Adult","Adult")</f>
        <v>Young Adult</v>
      </c>
      <c r="K708" s="4">
        <v>26</v>
      </c>
      <c r="L708" s="4" t="s">
        <v>7</v>
      </c>
      <c r="M708" s="4">
        <v>1</v>
      </c>
      <c r="N708" s="5">
        <v>500</v>
      </c>
      <c r="O708">
        <f>(M708*N708)</f>
        <v>500</v>
      </c>
      <c r="P708">
        <f>O708*$S$3</f>
        <v>7.5</v>
      </c>
      <c r="Q708">
        <f>O708*$S$4</f>
        <v>10</v>
      </c>
    </row>
    <row r="709" spans="1:17">
      <c r="A709" s="2">
        <v>708</v>
      </c>
      <c r="B709" s="4">
        <f>DAY(G709)</f>
        <v>14</v>
      </c>
      <c r="C709">
        <f>MONTH(G709)</f>
        <v>1</v>
      </c>
      <c r="D709">
        <f>YEAR(G709)</f>
        <v>2023</v>
      </c>
      <c r="E709" t="str">
        <f>TEXT(G709,"DDDD")</f>
        <v>Saturday</v>
      </c>
      <c r="F709" t="str">
        <f>TEXT(G709,"MMMM")</f>
        <v>January</v>
      </c>
      <c r="G709" s="3">
        <v>44940</v>
      </c>
      <c r="H709" s="4" t="s">
        <v>741</v>
      </c>
      <c r="I709" s="4" t="s">
        <v>3</v>
      </c>
      <c r="J709" s="4" t="str">
        <f>IF(K709&lt;30, "Young Adult","Adult")</f>
        <v>Adult</v>
      </c>
      <c r="K709" s="4">
        <v>43</v>
      </c>
      <c r="L709" s="4" t="s">
        <v>6</v>
      </c>
      <c r="M709" s="4">
        <v>3</v>
      </c>
      <c r="N709" s="5">
        <v>300</v>
      </c>
      <c r="O709">
        <f>(M709*N709)</f>
        <v>900</v>
      </c>
      <c r="P709">
        <f>O709*$S$3</f>
        <v>13.5</v>
      </c>
      <c r="Q709">
        <f>O709*$S$4</f>
        <v>18</v>
      </c>
    </row>
    <row r="710" spans="1:17">
      <c r="A710" s="2">
        <v>709</v>
      </c>
      <c r="B710" s="4">
        <f>DAY(G710)</f>
        <v>21</v>
      </c>
      <c r="C710">
        <f>MONTH(G710)</f>
        <v>7</v>
      </c>
      <c r="D710">
        <f>YEAR(G710)</f>
        <v>2023</v>
      </c>
      <c r="E710" t="str">
        <f>TEXT(G710,"DDDD")</f>
        <v>Friday</v>
      </c>
      <c r="F710" t="str">
        <f>TEXT(G710,"MMMM")</f>
        <v>July</v>
      </c>
      <c r="G710" s="3">
        <v>45128</v>
      </c>
      <c r="H710" s="4" t="s">
        <v>742</v>
      </c>
      <c r="I710" s="4" t="s">
        <v>3</v>
      </c>
      <c r="J710" s="4" t="str">
        <f>IF(K710&lt;30, "Young Adult","Adult")</f>
        <v>Young Adult</v>
      </c>
      <c r="K710" s="4">
        <v>19</v>
      </c>
      <c r="L710" s="4" t="s">
        <v>8</v>
      </c>
      <c r="M710" s="4">
        <v>2</v>
      </c>
      <c r="N710" s="5">
        <v>500</v>
      </c>
      <c r="O710">
        <f>(M710*N710)</f>
        <v>1000</v>
      </c>
      <c r="P710">
        <f>O710*$S$3</f>
        <v>15</v>
      </c>
      <c r="Q710">
        <f>O710*$S$4</f>
        <v>20</v>
      </c>
    </row>
    <row r="711" spans="1:17">
      <c r="A711" s="2">
        <v>710</v>
      </c>
      <c r="B711" s="4">
        <f>DAY(G711)</f>
        <v>31</v>
      </c>
      <c r="C711">
        <f>MONTH(G711)</f>
        <v>10</v>
      </c>
      <c r="D711">
        <f>YEAR(G711)</f>
        <v>2023</v>
      </c>
      <c r="E711" t="str">
        <f>TEXT(G711,"DDDD")</f>
        <v>Tuesday</v>
      </c>
      <c r="F711" t="str">
        <f>TEXT(G711,"MMMM")</f>
        <v>October</v>
      </c>
      <c r="G711" s="3">
        <v>45230</v>
      </c>
      <c r="H711" s="4" t="s">
        <v>743</v>
      </c>
      <c r="I711" s="4" t="s">
        <v>3</v>
      </c>
      <c r="J711" s="4" t="str">
        <f>IF(K711&lt;30, "Young Adult","Adult")</f>
        <v>Young Adult</v>
      </c>
      <c r="K711" s="4">
        <v>26</v>
      </c>
      <c r="L711" s="4" t="s">
        <v>8</v>
      </c>
      <c r="M711" s="4">
        <v>3</v>
      </c>
      <c r="N711" s="5">
        <v>500</v>
      </c>
      <c r="O711">
        <f>(M711*N711)</f>
        <v>1500</v>
      </c>
      <c r="P711">
        <f>O711*$S$3</f>
        <v>22.5</v>
      </c>
      <c r="Q711">
        <f>O711*$S$4</f>
        <v>30</v>
      </c>
    </row>
    <row r="712" spans="1:17">
      <c r="A712" s="2">
        <v>711</v>
      </c>
      <c r="B712" s="4">
        <f>DAY(G712)</f>
        <v>16</v>
      </c>
      <c r="C712">
        <f>MONTH(G712)</f>
        <v>10</v>
      </c>
      <c r="D712">
        <f>YEAR(G712)</f>
        <v>2023</v>
      </c>
      <c r="E712" t="str">
        <f>TEXT(G712,"DDDD")</f>
        <v>Monday</v>
      </c>
      <c r="F712" t="str">
        <f>TEXT(G712,"MMMM")</f>
        <v>October</v>
      </c>
      <c r="G712" s="3">
        <v>45215</v>
      </c>
      <c r="H712" s="4" t="s">
        <v>744</v>
      </c>
      <c r="I712" s="4" t="s">
        <v>4</v>
      </c>
      <c r="J712" s="4" t="str">
        <f>IF(K712&lt;30, "Young Adult","Adult")</f>
        <v>Young Adult</v>
      </c>
      <c r="K712" s="4">
        <v>26</v>
      </c>
      <c r="L712" s="4" t="s">
        <v>8</v>
      </c>
      <c r="M712" s="4">
        <v>3</v>
      </c>
      <c r="N712" s="5">
        <v>500</v>
      </c>
      <c r="O712">
        <f>(M712*N712)</f>
        <v>1500</v>
      </c>
      <c r="P712">
        <f>O712*$S$3</f>
        <v>22.5</v>
      </c>
      <c r="Q712">
        <f>O712*$S$4</f>
        <v>30</v>
      </c>
    </row>
    <row r="713" spans="1:17">
      <c r="A713" s="2">
        <v>712</v>
      </c>
      <c r="B713" s="4">
        <f>DAY(G713)</f>
        <v>6</v>
      </c>
      <c r="C713">
        <f>MONTH(G713)</f>
        <v>12</v>
      </c>
      <c r="D713">
        <f>YEAR(G713)</f>
        <v>2023</v>
      </c>
      <c r="E713" t="str">
        <f>TEXT(G713,"DDDD")</f>
        <v>Wednesday</v>
      </c>
      <c r="F713" t="str">
        <f>TEXT(G713,"MMMM")</f>
        <v>December</v>
      </c>
      <c r="G713" s="3">
        <v>45266</v>
      </c>
      <c r="H713" s="4" t="s">
        <v>745</v>
      </c>
      <c r="I713" s="4" t="s">
        <v>3</v>
      </c>
      <c r="J713" s="4" t="str">
        <f>IF(K713&lt;30, "Young Adult","Adult")</f>
        <v>Adult</v>
      </c>
      <c r="K713" s="4">
        <v>57</v>
      </c>
      <c r="L713" s="4" t="s">
        <v>6</v>
      </c>
      <c r="M713" s="4">
        <v>2</v>
      </c>
      <c r="N713" s="5">
        <v>25</v>
      </c>
      <c r="O713">
        <f>(M713*N713)</f>
        <v>50</v>
      </c>
      <c r="P713">
        <f>O713*$S$3</f>
        <v>0.75</v>
      </c>
      <c r="Q713">
        <f>O713*$S$4</f>
        <v>1</v>
      </c>
    </row>
    <row r="714" spans="1:17">
      <c r="A714" s="2">
        <v>713</v>
      </c>
      <c r="B714" s="4">
        <f>DAY(G714)</f>
        <v>14</v>
      </c>
      <c r="C714">
        <f>MONTH(G714)</f>
        <v>1</v>
      </c>
      <c r="D714">
        <f>YEAR(G714)</f>
        <v>2023</v>
      </c>
      <c r="E714" t="str">
        <f>TEXT(G714,"DDDD")</f>
        <v>Saturday</v>
      </c>
      <c r="F714" t="str">
        <f>TEXT(G714,"MMMM")</f>
        <v>January</v>
      </c>
      <c r="G714" s="3">
        <v>44940</v>
      </c>
      <c r="H714" s="4" t="s">
        <v>746</v>
      </c>
      <c r="I714" s="4" t="s">
        <v>4</v>
      </c>
      <c r="J714" s="4" t="str">
        <f>IF(K714&lt;30, "Young Adult","Adult")</f>
        <v>Adult</v>
      </c>
      <c r="K714" s="4">
        <v>34</v>
      </c>
      <c r="L714" s="4" t="s">
        <v>6</v>
      </c>
      <c r="M714" s="4">
        <v>3</v>
      </c>
      <c r="N714" s="5">
        <v>25</v>
      </c>
      <c r="O714">
        <f>(M714*N714)</f>
        <v>75</v>
      </c>
      <c r="P714">
        <f>O714*$S$3</f>
        <v>1.125</v>
      </c>
      <c r="Q714">
        <f>O714*$S$4</f>
        <v>1.5</v>
      </c>
    </row>
    <row r="715" spans="1:17">
      <c r="A715" s="2">
        <v>714</v>
      </c>
      <c r="B715" s="4">
        <f>DAY(G715)</f>
        <v>12</v>
      </c>
      <c r="C715">
        <f>MONTH(G715)</f>
        <v>2</v>
      </c>
      <c r="D715">
        <f>YEAR(G715)</f>
        <v>2023</v>
      </c>
      <c r="E715" t="str">
        <f>TEXT(G715,"DDDD")</f>
        <v>Sunday</v>
      </c>
      <c r="F715" t="str">
        <f>TEXT(G715,"MMMM")</f>
        <v>February</v>
      </c>
      <c r="G715" s="3">
        <v>44969</v>
      </c>
      <c r="H715" s="4" t="s">
        <v>747</v>
      </c>
      <c r="I715" s="4" t="s">
        <v>3</v>
      </c>
      <c r="J715" s="4" t="str">
        <f>IF(K715&lt;30, "Young Adult","Adult")</f>
        <v>Young Adult</v>
      </c>
      <c r="K715" s="4">
        <v>18</v>
      </c>
      <c r="L715" s="4" t="s">
        <v>7</v>
      </c>
      <c r="M715" s="4">
        <v>1</v>
      </c>
      <c r="N715" s="5">
        <v>500</v>
      </c>
      <c r="O715">
        <f>(M715*N715)</f>
        <v>500</v>
      </c>
      <c r="P715">
        <f>O715*$S$3</f>
        <v>7.5</v>
      </c>
      <c r="Q715">
        <f>O715*$S$4</f>
        <v>10</v>
      </c>
    </row>
    <row r="716" spans="1:17">
      <c r="A716" s="2">
        <v>715</v>
      </c>
      <c r="B716" s="4">
        <f>DAY(G716)</f>
        <v>26</v>
      </c>
      <c r="C716">
        <f>MONTH(G716)</f>
        <v>11</v>
      </c>
      <c r="D716">
        <f>YEAR(G716)</f>
        <v>2023</v>
      </c>
      <c r="E716" t="str">
        <f>TEXT(G716,"DDDD")</f>
        <v>Sunday</v>
      </c>
      <c r="F716" t="str">
        <f>TEXT(G716,"MMMM")</f>
        <v>November</v>
      </c>
      <c r="G716" s="3">
        <v>45256</v>
      </c>
      <c r="H716" s="4" t="s">
        <v>748</v>
      </c>
      <c r="I716" s="4" t="s">
        <v>3</v>
      </c>
      <c r="J716" s="4" t="str">
        <f>IF(K716&lt;30, "Young Adult","Adult")</f>
        <v>Adult</v>
      </c>
      <c r="K716" s="4">
        <v>42</v>
      </c>
      <c r="L716" s="4" t="s">
        <v>6</v>
      </c>
      <c r="M716" s="4">
        <v>4</v>
      </c>
      <c r="N716" s="5">
        <v>25</v>
      </c>
      <c r="O716">
        <f>(M716*N716)</f>
        <v>100</v>
      </c>
      <c r="P716">
        <f>O716*$S$3</f>
        <v>1.5</v>
      </c>
      <c r="Q716">
        <f>O716*$S$4</f>
        <v>2</v>
      </c>
    </row>
    <row r="717" spans="1:17">
      <c r="A717" s="2">
        <v>716</v>
      </c>
      <c r="B717" s="4">
        <f>DAY(G717)</f>
        <v>8</v>
      </c>
      <c r="C717">
        <f>MONTH(G717)</f>
        <v>8</v>
      </c>
      <c r="D717">
        <f>YEAR(G717)</f>
        <v>2023</v>
      </c>
      <c r="E717" t="str">
        <f>TEXT(G717,"DDDD")</f>
        <v>Tuesday</v>
      </c>
      <c r="F717" t="str">
        <f>TEXT(G717,"MMMM")</f>
        <v>August</v>
      </c>
      <c r="G717" s="3">
        <v>45146</v>
      </c>
      <c r="H717" s="4" t="s">
        <v>749</v>
      </c>
      <c r="I717" s="4" t="s">
        <v>3</v>
      </c>
      <c r="J717" s="4" t="str">
        <f>IF(K717&lt;30, "Young Adult","Adult")</f>
        <v>Adult</v>
      </c>
      <c r="K717" s="4">
        <v>60</v>
      </c>
      <c r="L717" s="4" t="s">
        <v>7</v>
      </c>
      <c r="M717" s="4">
        <v>4</v>
      </c>
      <c r="N717" s="5">
        <v>300</v>
      </c>
      <c r="O717">
        <f>(M717*N717)</f>
        <v>1200</v>
      </c>
      <c r="P717">
        <f>O717*$S$3</f>
        <v>18</v>
      </c>
      <c r="Q717">
        <f>O717*$S$4</f>
        <v>24</v>
      </c>
    </row>
    <row r="718" spans="1:17">
      <c r="A718" s="2">
        <v>717</v>
      </c>
      <c r="B718" s="4">
        <f>DAY(G718)</f>
        <v>11</v>
      </c>
      <c r="C718">
        <f>MONTH(G718)</f>
        <v>3</v>
      </c>
      <c r="D718">
        <f>YEAR(G718)</f>
        <v>2023</v>
      </c>
      <c r="E718" t="str">
        <f>TEXT(G718,"DDDD")</f>
        <v>Saturday</v>
      </c>
      <c r="F718" t="str">
        <f>TEXT(G718,"MMMM")</f>
        <v>March</v>
      </c>
      <c r="G718" s="3">
        <v>44996</v>
      </c>
      <c r="H718" s="4" t="s">
        <v>750</v>
      </c>
      <c r="I718" s="4" t="s">
        <v>4</v>
      </c>
      <c r="J718" s="4" t="str">
        <f>IF(K718&lt;30, "Young Adult","Adult")</f>
        <v>Adult</v>
      </c>
      <c r="K718" s="4">
        <v>57</v>
      </c>
      <c r="L718" s="4" t="s">
        <v>7</v>
      </c>
      <c r="M718" s="4">
        <v>1</v>
      </c>
      <c r="N718" s="5">
        <v>500</v>
      </c>
      <c r="O718">
        <f>(M718*N718)</f>
        <v>500</v>
      </c>
      <c r="P718">
        <f>O718*$S$3</f>
        <v>7.5</v>
      </c>
      <c r="Q718">
        <f>O718*$S$4</f>
        <v>10</v>
      </c>
    </row>
    <row r="719" spans="1:17">
      <c r="A719" s="2">
        <v>718</v>
      </c>
      <c r="B719" s="4">
        <f>DAY(G719)</f>
        <v>25</v>
      </c>
      <c r="C719">
        <f>MONTH(G719)</f>
        <v>8</v>
      </c>
      <c r="D719">
        <f>YEAR(G719)</f>
        <v>2023</v>
      </c>
      <c r="E719" t="str">
        <f>TEXT(G719,"DDDD")</f>
        <v>Friday</v>
      </c>
      <c r="F719" t="str">
        <f>TEXT(G719,"MMMM")</f>
        <v>August</v>
      </c>
      <c r="G719" s="3">
        <v>45163</v>
      </c>
      <c r="H719" s="4" t="s">
        <v>751</v>
      </c>
      <c r="I719" s="4" t="s">
        <v>3</v>
      </c>
      <c r="J719" s="4" t="str">
        <f>IF(K719&lt;30, "Young Adult","Adult")</f>
        <v>Adult</v>
      </c>
      <c r="K719" s="4">
        <v>59</v>
      </c>
      <c r="L719" s="4" t="s">
        <v>6</v>
      </c>
      <c r="M719" s="4">
        <v>3</v>
      </c>
      <c r="N719" s="5">
        <v>25</v>
      </c>
      <c r="O719">
        <f>(M719*N719)</f>
        <v>75</v>
      </c>
      <c r="P719">
        <f>O719*$S$3</f>
        <v>1.125</v>
      </c>
      <c r="Q719">
        <f>O719*$S$4</f>
        <v>1.5</v>
      </c>
    </row>
    <row r="720" spans="1:17">
      <c r="A720" s="2">
        <v>719</v>
      </c>
      <c r="B720" s="4">
        <f>DAY(G720)</f>
        <v>4</v>
      </c>
      <c r="C720">
        <f>MONTH(G720)</f>
        <v>4</v>
      </c>
      <c r="D720">
        <f>YEAR(G720)</f>
        <v>2023</v>
      </c>
      <c r="E720" t="str">
        <f>TEXT(G720,"DDDD")</f>
        <v>Tuesday</v>
      </c>
      <c r="F720" t="str">
        <f>TEXT(G720,"MMMM")</f>
        <v>April</v>
      </c>
      <c r="G720" s="3">
        <v>45020</v>
      </c>
      <c r="H720" s="4" t="s">
        <v>752</v>
      </c>
      <c r="I720" s="4" t="s">
        <v>3</v>
      </c>
      <c r="J720" s="4" t="str">
        <f>IF(K720&lt;30, "Young Adult","Adult")</f>
        <v>Adult</v>
      </c>
      <c r="K720" s="4">
        <v>42</v>
      </c>
      <c r="L720" s="4" t="s">
        <v>7</v>
      </c>
      <c r="M720" s="4">
        <v>2</v>
      </c>
      <c r="N720" s="5">
        <v>30</v>
      </c>
      <c r="O720">
        <f>(M720*N720)</f>
        <v>60</v>
      </c>
      <c r="P720">
        <f>O720*$S$3</f>
        <v>0.89999999999999991</v>
      </c>
      <c r="Q720">
        <f>O720*$S$4</f>
        <v>1.2</v>
      </c>
    </row>
    <row r="721" spans="1:17">
      <c r="A721" s="2">
        <v>720</v>
      </c>
      <c r="B721" s="4">
        <f>DAY(G721)</f>
        <v>26</v>
      </c>
      <c r="C721">
        <f>MONTH(G721)</f>
        <v>1</v>
      </c>
      <c r="D721">
        <f>YEAR(G721)</f>
        <v>2023</v>
      </c>
      <c r="E721" t="str">
        <f>TEXT(G721,"DDDD")</f>
        <v>Thursday</v>
      </c>
      <c r="F721" t="str">
        <f>TEXT(G721,"MMMM")</f>
        <v>January</v>
      </c>
      <c r="G721" s="3">
        <v>44952</v>
      </c>
      <c r="H721" s="4" t="s">
        <v>753</v>
      </c>
      <c r="I721" s="4" t="s">
        <v>3</v>
      </c>
      <c r="J721" s="4" t="str">
        <f>IF(K721&lt;30, "Young Adult","Adult")</f>
        <v>Adult</v>
      </c>
      <c r="K721" s="4">
        <v>56</v>
      </c>
      <c r="L721" s="4" t="s">
        <v>6</v>
      </c>
      <c r="M721" s="4">
        <v>3</v>
      </c>
      <c r="N721" s="5">
        <v>500</v>
      </c>
      <c r="O721">
        <f>(M721*N721)</f>
        <v>1500</v>
      </c>
      <c r="P721">
        <f>O721*$S$3</f>
        <v>22.5</v>
      </c>
      <c r="Q721">
        <f>O721*$S$4</f>
        <v>30</v>
      </c>
    </row>
    <row r="722" spans="1:17">
      <c r="A722" s="2">
        <v>721</v>
      </c>
      <c r="B722" s="4">
        <f>DAY(G722)</f>
        <v>14</v>
      </c>
      <c r="C722">
        <f>MONTH(G722)</f>
        <v>5</v>
      </c>
      <c r="D722">
        <f>YEAR(G722)</f>
        <v>2023</v>
      </c>
      <c r="E722" t="str">
        <f>TEXT(G722,"DDDD")</f>
        <v>Sunday</v>
      </c>
      <c r="F722" t="str">
        <f>TEXT(G722,"MMMM")</f>
        <v>May</v>
      </c>
      <c r="G722" s="3">
        <v>45060</v>
      </c>
      <c r="H722" s="4" t="s">
        <v>754</v>
      </c>
      <c r="I722" s="4" t="s">
        <v>3</v>
      </c>
      <c r="J722" s="4" t="str">
        <f>IF(K722&lt;30, "Young Adult","Adult")</f>
        <v>Adult</v>
      </c>
      <c r="K722" s="4">
        <v>52</v>
      </c>
      <c r="L722" s="4" t="s">
        <v>7</v>
      </c>
      <c r="M722" s="4">
        <v>1</v>
      </c>
      <c r="N722" s="5">
        <v>500</v>
      </c>
      <c r="O722">
        <f>(M722*N722)</f>
        <v>500</v>
      </c>
      <c r="P722">
        <f>O722*$S$3</f>
        <v>7.5</v>
      </c>
      <c r="Q722">
        <f>O722*$S$4</f>
        <v>10</v>
      </c>
    </row>
    <row r="723" spans="1:17">
      <c r="A723" s="2">
        <v>722</v>
      </c>
      <c r="B723" s="4">
        <f>DAY(G723)</f>
        <v>14</v>
      </c>
      <c r="C723">
        <f>MONTH(G723)</f>
        <v>7</v>
      </c>
      <c r="D723">
        <f>YEAR(G723)</f>
        <v>2023</v>
      </c>
      <c r="E723" t="str">
        <f>TEXT(G723,"DDDD")</f>
        <v>Friday</v>
      </c>
      <c r="F723" t="str">
        <f>TEXT(G723,"MMMM")</f>
        <v>July</v>
      </c>
      <c r="G723" s="3">
        <v>45121</v>
      </c>
      <c r="H723" s="4" t="s">
        <v>755</v>
      </c>
      <c r="I723" s="4" t="s">
        <v>4</v>
      </c>
      <c r="J723" s="4" t="str">
        <f>IF(K723&lt;30, "Young Adult","Adult")</f>
        <v>Young Adult</v>
      </c>
      <c r="K723" s="4">
        <v>20</v>
      </c>
      <c r="L723" s="4" t="s">
        <v>6</v>
      </c>
      <c r="M723" s="4">
        <v>3</v>
      </c>
      <c r="N723" s="5">
        <v>300</v>
      </c>
      <c r="O723">
        <f>(M723*N723)</f>
        <v>900</v>
      </c>
      <c r="P723">
        <f>O723*$S$3</f>
        <v>13.5</v>
      </c>
      <c r="Q723">
        <f>O723*$S$4</f>
        <v>18</v>
      </c>
    </row>
    <row r="724" spans="1:17">
      <c r="A724" s="2">
        <v>723</v>
      </c>
      <c r="B724" s="4">
        <f>DAY(G724)</f>
        <v>17</v>
      </c>
      <c r="C724">
        <f>MONTH(G724)</f>
        <v>6</v>
      </c>
      <c r="D724">
        <f>YEAR(G724)</f>
        <v>2023</v>
      </c>
      <c r="E724" t="str">
        <f>TEXT(G724,"DDDD")</f>
        <v>Saturday</v>
      </c>
      <c r="F724" t="str">
        <f>TEXT(G724,"MMMM")</f>
        <v>June</v>
      </c>
      <c r="G724" s="3">
        <v>45094</v>
      </c>
      <c r="H724" s="4" t="s">
        <v>756</v>
      </c>
      <c r="I724" s="4" t="s">
        <v>3</v>
      </c>
      <c r="J724" s="4" t="str">
        <f>IF(K724&lt;30, "Young Adult","Adult")</f>
        <v>Adult</v>
      </c>
      <c r="K724" s="4">
        <v>54</v>
      </c>
      <c r="L724" s="4" t="s">
        <v>6</v>
      </c>
      <c r="M724" s="4">
        <v>4</v>
      </c>
      <c r="N724" s="5">
        <v>50</v>
      </c>
      <c r="O724">
        <f>(M724*N724)</f>
        <v>200</v>
      </c>
      <c r="P724">
        <f>O724*$S$3</f>
        <v>3</v>
      </c>
      <c r="Q724">
        <f>O724*$S$4</f>
        <v>4</v>
      </c>
    </row>
    <row r="725" spans="1:17">
      <c r="A725" s="2">
        <v>724</v>
      </c>
      <c r="B725" s="4">
        <f>DAY(G725)</f>
        <v>19</v>
      </c>
      <c r="C725">
        <f>MONTH(G725)</f>
        <v>4</v>
      </c>
      <c r="D725">
        <f>YEAR(G725)</f>
        <v>2023</v>
      </c>
      <c r="E725" t="str">
        <f>TEXT(G725,"DDDD")</f>
        <v>Wednesday</v>
      </c>
      <c r="F725" t="str">
        <f>TEXT(G725,"MMMM")</f>
        <v>April</v>
      </c>
      <c r="G725" s="3">
        <v>45035</v>
      </c>
      <c r="H725" s="4" t="s">
        <v>757</v>
      </c>
      <c r="I725" s="4" t="s">
        <v>4</v>
      </c>
      <c r="J725" s="4" t="str">
        <f>IF(K725&lt;30, "Young Adult","Adult")</f>
        <v>Adult</v>
      </c>
      <c r="K725" s="4">
        <v>61</v>
      </c>
      <c r="L725" s="4" t="s">
        <v>7</v>
      </c>
      <c r="M725" s="4">
        <v>3</v>
      </c>
      <c r="N725" s="5">
        <v>50</v>
      </c>
      <c r="O725">
        <f>(M725*N725)</f>
        <v>150</v>
      </c>
      <c r="P725">
        <f>O725*$S$3</f>
        <v>2.25</v>
      </c>
      <c r="Q725">
        <f>O725*$S$4</f>
        <v>3</v>
      </c>
    </row>
    <row r="726" spans="1:17">
      <c r="A726" s="2">
        <v>725</v>
      </c>
      <c r="B726" s="4">
        <f>DAY(G726)</f>
        <v>21</v>
      </c>
      <c r="C726">
        <f>MONTH(G726)</f>
        <v>8</v>
      </c>
      <c r="D726">
        <f>YEAR(G726)</f>
        <v>2023</v>
      </c>
      <c r="E726" t="str">
        <f>TEXT(G726,"DDDD")</f>
        <v>Monday</v>
      </c>
      <c r="F726" t="str">
        <f>TEXT(G726,"MMMM")</f>
        <v>August</v>
      </c>
      <c r="G726" s="3">
        <v>45159</v>
      </c>
      <c r="H726" s="4" t="s">
        <v>758</v>
      </c>
      <c r="I726" s="4" t="s">
        <v>4</v>
      </c>
      <c r="J726" s="4" t="str">
        <f>IF(K726&lt;30, "Young Adult","Adult")</f>
        <v>Adult</v>
      </c>
      <c r="K726" s="4">
        <v>61</v>
      </c>
      <c r="L726" s="4" t="s">
        <v>8</v>
      </c>
      <c r="M726" s="4">
        <v>1</v>
      </c>
      <c r="N726" s="5">
        <v>300</v>
      </c>
      <c r="O726">
        <f>(M726*N726)</f>
        <v>300</v>
      </c>
      <c r="P726">
        <f>O726*$S$3</f>
        <v>4.5</v>
      </c>
      <c r="Q726">
        <f>O726*$S$4</f>
        <v>6</v>
      </c>
    </row>
    <row r="727" spans="1:17">
      <c r="A727" s="2">
        <v>726</v>
      </c>
      <c r="B727" s="4">
        <f>DAY(G727)</f>
        <v>17</v>
      </c>
      <c r="C727">
        <f>MONTH(G727)</f>
        <v>6</v>
      </c>
      <c r="D727">
        <f>YEAR(G727)</f>
        <v>2023</v>
      </c>
      <c r="E727" t="str">
        <f>TEXT(G727,"DDDD")</f>
        <v>Saturday</v>
      </c>
      <c r="F727" t="str">
        <f>TEXT(G727,"MMMM")</f>
        <v>June</v>
      </c>
      <c r="G727" s="3">
        <v>45094</v>
      </c>
      <c r="H727" s="4" t="s">
        <v>759</v>
      </c>
      <c r="I727" s="4" t="s">
        <v>4</v>
      </c>
      <c r="J727" s="4" t="str">
        <f>IF(K727&lt;30, "Young Adult","Adult")</f>
        <v>Adult</v>
      </c>
      <c r="K727" s="4">
        <v>47</v>
      </c>
      <c r="L727" s="4" t="s">
        <v>7</v>
      </c>
      <c r="M727" s="4">
        <v>4</v>
      </c>
      <c r="N727" s="5">
        <v>300</v>
      </c>
      <c r="O727">
        <f>(M727*N727)</f>
        <v>1200</v>
      </c>
      <c r="P727">
        <f>O727*$S$3</f>
        <v>18</v>
      </c>
      <c r="Q727">
        <f>O727*$S$4</f>
        <v>24</v>
      </c>
    </row>
    <row r="728" spans="1:17">
      <c r="A728" s="2">
        <v>727</v>
      </c>
      <c r="B728" s="4">
        <f>DAY(G728)</f>
        <v>22</v>
      </c>
      <c r="C728">
        <f>MONTH(G728)</f>
        <v>6</v>
      </c>
      <c r="D728">
        <f>YEAR(G728)</f>
        <v>2023</v>
      </c>
      <c r="E728" t="str">
        <f>TEXT(G728,"DDDD")</f>
        <v>Thursday</v>
      </c>
      <c r="F728" t="str">
        <f>TEXT(G728,"MMMM")</f>
        <v>June</v>
      </c>
      <c r="G728" s="3">
        <v>45099</v>
      </c>
      <c r="H728" s="4" t="s">
        <v>760</v>
      </c>
      <c r="I728" s="4" t="s">
        <v>4</v>
      </c>
      <c r="J728" s="4" t="str">
        <f>IF(K728&lt;30, "Young Adult","Adult")</f>
        <v>Adult</v>
      </c>
      <c r="K728" s="4">
        <v>55</v>
      </c>
      <c r="L728" s="4" t="s">
        <v>6</v>
      </c>
      <c r="M728" s="4">
        <v>3</v>
      </c>
      <c r="N728" s="5">
        <v>300</v>
      </c>
      <c r="O728">
        <f>(M728*N728)</f>
        <v>900</v>
      </c>
      <c r="P728">
        <f>O728*$S$3</f>
        <v>13.5</v>
      </c>
      <c r="Q728">
        <f>O728*$S$4</f>
        <v>18</v>
      </c>
    </row>
    <row r="729" spans="1:17">
      <c r="A729" s="2">
        <v>728</v>
      </c>
      <c r="B729" s="4">
        <f>DAY(G729)</f>
        <v>14</v>
      </c>
      <c r="C729">
        <f>MONTH(G729)</f>
        <v>7</v>
      </c>
      <c r="D729">
        <f>YEAR(G729)</f>
        <v>2023</v>
      </c>
      <c r="E729" t="str">
        <f>TEXT(G729,"DDDD")</f>
        <v>Friday</v>
      </c>
      <c r="F729" t="str">
        <f>TEXT(G729,"MMMM")</f>
        <v>July</v>
      </c>
      <c r="G729" s="3">
        <v>45121</v>
      </c>
      <c r="H729" s="4" t="s">
        <v>761</v>
      </c>
      <c r="I729" s="4" t="s">
        <v>4</v>
      </c>
      <c r="J729" s="4" t="str">
        <f>IF(K729&lt;30, "Young Adult","Adult")</f>
        <v>Adult</v>
      </c>
      <c r="K729" s="4">
        <v>51</v>
      </c>
      <c r="L729" s="4" t="s">
        <v>8</v>
      </c>
      <c r="M729" s="4">
        <v>3</v>
      </c>
      <c r="N729" s="5">
        <v>50</v>
      </c>
      <c r="O729">
        <f>(M729*N729)</f>
        <v>150</v>
      </c>
      <c r="P729">
        <f>O729*$S$3</f>
        <v>2.25</v>
      </c>
      <c r="Q729">
        <f>O729*$S$4</f>
        <v>3</v>
      </c>
    </row>
    <row r="730" spans="1:17">
      <c r="A730" s="2">
        <v>729</v>
      </c>
      <c r="B730" s="4">
        <f>DAY(G730)</f>
        <v>23</v>
      </c>
      <c r="C730">
        <f>MONTH(G730)</f>
        <v>5</v>
      </c>
      <c r="D730">
        <f>YEAR(G730)</f>
        <v>2023</v>
      </c>
      <c r="E730" t="str">
        <f>TEXT(G730,"DDDD")</f>
        <v>Tuesday</v>
      </c>
      <c r="F730" t="str">
        <f>TEXT(G730,"MMMM")</f>
        <v>May</v>
      </c>
      <c r="G730" s="3">
        <v>45069</v>
      </c>
      <c r="H730" s="4" t="s">
        <v>762</v>
      </c>
      <c r="I730" s="4" t="s">
        <v>4</v>
      </c>
      <c r="J730" s="4" t="str">
        <f>IF(K730&lt;30, "Young Adult","Adult")</f>
        <v>Young Adult</v>
      </c>
      <c r="K730" s="4">
        <v>29</v>
      </c>
      <c r="L730" s="4" t="s">
        <v>7</v>
      </c>
      <c r="M730" s="4">
        <v>4</v>
      </c>
      <c r="N730" s="5">
        <v>300</v>
      </c>
      <c r="O730">
        <f>(M730*N730)</f>
        <v>1200</v>
      </c>
      <c r="P730">
        <f>O730*$S$3</f>
        <v>18</v>
      </c>
      <c r="Q730">
        <f>O730*$S$4</f>
        <v>24</v>
      </c>
    </row>
    <row r="731" spans="1:17">
      <c r="A731" s="2">
        <v>730</v>
      </c>
      <c r="B731" s="4">
        <f>DAY(G731)</f>
        <v>4</v>
      </c>
      <c r="C731">
        <f>MONTH(G731)</f>
        <v>8</v>
      </c>
      <c r="D731">
        <f>YEAR(G731)</f>
        <v>2023</v>
      </c>
      <c r="E731" t="str">
        <f>TEXT(G731,"DDDD")</f>
        <v>Friday</v>
      </c>
      <c r="F731" t="str">
        <f>TEXT(G731,"MMMM")</f>
        <v>August</v>
      </c>
      <c r="G731" s="3">
        <v>45142</v>
      </c>
      <c r="H731" s="4" t="s">
        <v>763</v>
      </c>
      <c r="I731" s="4" t="s">
        <v>3</v>
      </c>
      <c r="J731" s="4" t="str">
        <f>IF(K731&lt;30, "Young Adult","Adult")</f>
        <v>Adult</v>
      </c>
      <c r="K731" s="4">
        <v>36</v>
      </c>
      <c r="L731" s="4" t="s">
        <v>7</v>
      </c>
      <c r="M731" s="4">
        <v>2</v>
      </c>
      <c r="N731" s="5">
        <v>25</v>
      </c>
      <c r="O731">
        <f>(M731*N731)</f>
        <v>50</v>
      </c>
      <c r="P731">
        <f>O731*$S$3</f>
        <v>0.75</v>
      </c>
      <c r="Q731">
        <f>O731*$S$4</f>
        <v>1</v>
      </c>
    </row>
    <row r="732" spans="1:17">
      <c r="A732" s="2">
        <v>731</v>
      </c>
      <c r="B732" s="4">
        <f>DAY(G732)</f>
        <v>10</v>
      </c>
      <c r="C732">
        <f>MONTH(G732)</f>
        <v>5</v>
      </c>
      <c r="D732">
        <f>YEAR(G732)</f>
        <v>2023</v>
      </c>
      <c r="E732" t="str">
        <f>TEXT(G732,"DDDD")</f>
        <v>Wednesday</v>
      </c>
      <c r="F732" t="str">
        <f>TEXT(G732,"MMMM")</f>
        <v>May</v>
      </c>
      <c r="G732" s="3">
        <v>45056</v>
      </c>
      <c r="H732" s="4" t="s">
        <v>764</v>
      </c>
      <c r="I732" s="4" t="s">
        <v>4</v>
      </c>
      <c r="J732" s="4" t="str">
        <f>IF(K732&lt;30, "Young Adult","Adult")</f>
        <v>Adult</v>
      </c>
      <c r="K732" s="4">
        <v>54</v>
      </c>
      <c r="L732" s="4" t="s">
        <v>7</v>
      </c>
      <c r="M732" s="4">
        <v>4</v>
      </c>
      <c r="N732" s="5">
        <v>500</v>
      </c>
      <c r="O732">
        <f>(M732*N732)</f>
        <v>2000</v>
      </c>
      <c r="P732">
        <f>O732*$S$3</f>
        <v>30</v>
      </c>
      <c r="Q732">
        <f>O732*$S$4</f>
        <v>40</v>
      </c>
    </row>
    <row r="733" spans="1:17">
      <c r="A733" s="2">
        <v>732</v>
      </c>
      <c r="B733" s="4">
        <f>DAY(G733)</f>
        <v>11</v>
      </c>
      <c r="C733">
        <f>MONTH(G733)</f>
        <v>2</v>
      </c>
      <c r="D733">
        <f>YEAR(G733)</f>
        <v>2023</v>
      </c>
      <c r="E733" t="str">
        <f>TEXT(G733,"DDDD")</f>
        <v>Saturday</v>
      </c>
      <c r="F733" t="str">
        <f>TEXT(G733,"MMMM")</f>
        <v>February</v>
      </c>
      <c r="G733" s="3">
        <v>44968</v>
      </c>
      <c r="H733" s="4" t="s">
        <v>765</v>
      </c>
      <c r="I733" s="4" t="s">
        <v>4</v>
      </c>
      <c r="J733" s="4" t="str">
        <f>IF(K733&lt;30, "Young Adult","Adult")</f>
        <v>Adult</v>
      </c>
      <c r="K733" s="4">
        <v>61</v>
      </c>
      <c r="L733" s="4" t="s">
        <v>8</v>
      </c>
      <c r="M733" s="4">
        <v>2</v>
      </c>
      <c r="N733" s="5">
        <v>500</v>
      </c>
      <c r="O733">
        <f>(M733*N733)</f>
        <v>1000</v>
      </c>
      <c r="P733">
        <f>O733*$S$3</f>
        <v>15</v>
      </c>
      <c r="Q733">
        <f>O733*$S$4</f>
        <v>20</v>
      </c>
    </row>
    <row r="734" spans="1:17">
      <c r="A734" s="2">
        <v>733</v>
      </c>
      <c r="B734" s="4">
        <f>DAY(G734)</f>
        <v>29</v>
      </c>
      <c r="C734">
        <f>MONTH(G734)</f>
        <v>8</v>
      </c>
      <c r="D734">
        <f>YEAR(G734)</f>
        <v>2023</v>
      </c>
      <c r="E734" t="str">
        <f>TEXT(G734,"DDDD")</f>
        <v>Tuesday</v>
      </c>
      <c r="F734" t="str">
        <f>TEXT(G734,"MMMM")</f>
        <v>August</v>
      </c>
      <c r="G734" s="3">
        <v>45167</v>
      </c>
      <c r="H734" s="4" t="s">
        <v>766</v>
      </c>
      <c r="I734" s="4" t="s">
        <v>4</v>
      </c>
      <c r="J734" s="4" t="str">
        <f>IF(K734&lt;30, "Young Adult","Adult")</f>
        <v>Adult</v>
      </c>
      <c r="K734" s="4">
        <v>34</v>
      </c>
      <c r="L734" s="4" t="s">
        <v>6</v>
      </c>
      <c r="M734" s="4">
        <v>1</v>
      </c>
      <c r="N734" s="5">
        <v>30</v>
      </c>
      <c r="O734">
        <f>(M734*N734)</f>
        <v>30</v>
      </c>
      <c r="P734">
        <f>O734*$S$3</f>
        <v>0.44999999999999996</v>
      </c>
      <c r="Q734">
        <f>O734*$S$4</f>
        <v>0.6</v>
      </c>
    </row>
    <row r="735" spans="1:17">
      <c r="A735" s="2">
        <v>734</v>
      </c>
      <c r="B735" s="4">
        <f>DAY(G735)</f>
        <v>10</v>
      </c>
      <c r="C735">
        <f>MONTH(G735)</f>
        <v>1</v>
      </c>
      <c r="D735">
        <f>YEAR(G735)</f>
        <v>2023</v>
      </c>
      <c r="E735" t="str">
        <f>TEXT(G735,"DDDD")</f>
        <v>Tuesday</v>
      </c>
      <c r="F735" t="str">
        <f>TEXT(G735,"MMMM")</f>
        <v>January</v>
      </c>
      <c r="G735" s="3">
        <v>44936</v>
      </c>
      <c r="H735" s="4" t="s">
        <v>767</v>
      </c>
      <c r="I735" s="4" t="s">
        <v>3</v>
      </c>
      <c r="J735" s="4" t="str">
        <f>IF(K735&lt;30, "Young Adult","Adult")</f>
        <v>Young Adult</v>
      </c>
      <c r="K735" s="4">
        <v>27</v>
      </c>
      <c r="L735" s="4" t="s">
        <v>7</v>
      </c>
      <c r="M735" s="4">
        <v>1</v>
      </c>
      <c r="N735" s="5">
        <v>30</v>
      </c>
      <c r="O735">
        <f>(M735*N735)</f>
        <v>30</v>
      </c>
      <c r="P735">
        <f>O735*$S$3</f>
        <v>0.44999999999999996</v>
      </c>
      <c r="Q735">
        <f>O735*$S$4</f>
        <v>0.6</v>
      </c>
    </row>
    <row r="736" spans="1:17">
      <c r="A736" s="2">
        <v>735</v>
      </c>
      <c r="B736" s="4">
        <f>DAY(G736)</f>
        <v>4</v>
      </c>
      <c r="C736">
        <f>MONTH(G736)</f>
        <v>10</v>
      </c>
      <c r="D736">
        <f>YEAR(G736)</f>
        <v>2023</v>
      </c>
      <c r="E736" t="str">
        <f>TEXT(G736,"DDDD")</f>
        <v>Wednesday</v>
      </c>
      <c r="F736" t="str">
        <f>TEXT(G736,"MMMM")</f>
        <v>October</v>
      </c>
      <c r="G736" s="3">
        <v>45203</v>
      </c>
      <c r="H736" s="4" t="s">
        <v>768</v>
      </c>
      <c r="I736" s="4" t="s">
        <v>3</v>
      </c>
      <c r="J736" s="4" t="str">
        <f>IF(K736&lt;30, "Young Adult","Adult")</f>
        <v>Adult</v>
      </c>
      <c r="K736" s="4">
        <v>64</v>
      </c>
      <c r="L736" s="4" t="s">
        <v>7</v>
      </c>
      <c r="M736" s="4">
        <v>4</v>
      </c>
      <c r="N736" s="5">
        <v>500</v>
      </c>
      <c r="O736">
        <f>(M736*N736)</f>
        <v>2000</v>
      </c>
      <c r="P736">
        <f>O736*$S$3</f>
        <v>30</v>
      </c>
      <c r="Q736">
        <f>O736*$S$4</f>
        <v>40</v>
      </c>
    </row>
    <row r="737" spans="1:17">
      <c r="A737" s="2">
        <v>736</v>
      </c>
      <c r="B737" s="4">
        <f>DAY(G737)</f>
        <v>27</v>
      </c>
      <c r="C737">
        <f>MONTH(G737)</f>
        <v>1</v>
      </c>
      <c r="D737">
        <f>YEAR(G737)</f>
        <v>2023</v>
      </c>
      <c r="E737" t="str">
        <f>TEXT(G737,"DDDD")</f>
        <v>Friday</v>
      </c>
      <c r="F737" t="str">
        <f>TEXT(G737,"MMMM")</f>
        <v>January</v>
      </c>
      <c r="G737" s="3">
        <v>44953</v>
      </c>
      <c r="H737" s="4" t="s">
        <v>769</v>
      </c>
      <c r="I737" s="4" t="s">
        <v>4</v>
      </c>
      <c r="J737" s="4" t="str">
        <f>IF(K737&lt;30, "Young Adult","Adult")</f>
        <v>Young Adult</v>
      </c>
      <c r="K737" s="4">
        <v>29</v>
      </c>
      <c r="L737" s="4" t="s">
        <v>7</v>
      </c>
      <c r="M737" s="4">
        <v>4</v>
      </c>
      <c r="N737" s="5">
        <v>25</v>
      </c>
      <c r="O737">
        <f>(M737*N737)</f>
        <v>100</v>
      </c>
      <c r="P737">
        <f>O737*$S$3</f>
        <v>1.5</v>
      </c>
      <c r="Q737">
        <f>O737*$S$4</f>
        <v>2</v>
      </c>
    </row>
    <row r="738" spans="1:17">
      <c r="A738" s="2">
        <v>737</v>
      </c>
      <c r="B738" s="4">
        <f>DAY(G738)</f>
        <v>29</v>
      </c>
      <c r="C738">
        <f>MONTH(G738)</f>
        <v>6</v>
      </c>
      <c r="D738">
        <f>YEAR(G738)</f>
        <v>2023</v>
      </c>
      <c r="E738" t="str">
        <f>TEXT(G738,"DDDD")</f>
        <v>Thursday</v>
      </c>
      <c r="F738" t="str">
        <f>TEXT(G738,"MMMM")</f>
        <v>June</v>
      </c>
      <c r="G738" s="3">
        <v>45106</v>
      </c>
      <c r="H738" s="4" t="s">
        <v>770</v>
      </c>
      <c r="I738" s="4" t="s">
        <v>3</v>
      </c>
      <c r="J738" s="4" t="str">
        <f>IF(K738&lt;30, "Young Adult","Adult")</f>
        <v>Adult</v>
      </c>
      <c r="K738" s="4">
        <v>33</v>
      </c>
      <c r="L738" s="4" t="s">
        <v>7</v>
      </c>
      <c r="M738" s="4">
        <v>1</v>
      </c>
      <c r="N738" s="5">
        <v>50</v>
      </c>
      <c r="O738">
        <f>(M738*N738)</f>
        <v>50</v>
      </c>
      <c r="P738">
        <f>O738*$S$3</f>
        <v>0.75</v>
      </c>
      <c r="Q738">
        <f>O738*$S$4</f>
        <v>1</v>
      </c>
    </row>
    <row r="739" spans="1:17">
      <c r="A739" s="2">
        <v>738</v>
      </c>
      <c r="B739" s="4">
        <f>DAY(G739)</f>
        <v>25</v>
      </c>
      <c r="C739">
        <f>MONTH(G739)</f>
        <v>4</v>
      </c>
      <c r="D739">
        <f>YEAR(G739)</f>
        <v>2023</v>
      </c>
      <c r="E739" t="str">
        <f>TEXT(G739,"DDDD")</f>
        <v>Tuesday</v>
      </c>
      <c r="F739" t="str">
        <f>TEXT(G739,"MMMM")</f>
        <v>April</v>
      </c>
      <c r="G739" s="3">
        <v>45041</v>
      </c>
      <c r="H739" s="4" t="s">
        <v>771</v>
      </c>
      <c r="I739" s="4" t="s">
        <v>4</v>
      </c>
      <c r="J739" s="4" t="str">
        <f>IF(K739&lt;30, "Young Adult","Adult")</f>
        <v>Adult</v>
      </c>
      <c r="K739" s="4">
        <v>41</v>
      </c>
      <c r="L739" s="4" t="s">
        <v>7</v>
      </c>
      <c r="M739" s="4">
        <v>2</v>
      </c>
      <c r="N739" s="5">
        <v>50</v>
      </c>
      <c r="O739">
        <f>(M739*N739)</f>
        <v>100</v>
      </c>
      <c r="P739">
        <f>O739*$S$3</f>
        <v>1.5</v>
      </c>
      <c r="Q739">
        <f>O739*$S$4</f>
        <v>2</v>
      </c>
    </row>
    <row r="740" spans="1:17">
      <c r="A740" s="2">
        <v>739</v>
      </c>
      <c r="B740" s="4">
        <f>DAY(G740)</f>
        <v>29</v>
      </c>
      <c r="C740">
        <f>MONTH(G740)</f>
        <v>11</v>
      </c>
      <c r="D740">
        <f>YEAR(G740)</f>
        <v>2023</v>
      </c>
      <c r="E740" t="str">
        <f>TEXT(G740,"DDDD")</f>
        <v>Wednesday</v>
      </c>
      <c r="F740" t="str">
        <f>TEXT(G740,"MMMM")</f>
        <v>November</v>
      </c>
      <c r="G740" s="3">
        <v>45259</v>
      </c>
      <c r="H740" s="4" t="s">
        <v>772</v>
      </c>
      <c r="I740" s="4" t="s">
        <v>4</v>
      </c>
      <c r="J740" s="4" t="str">
        <f>IF(K740&lt;30, "Young Adult","Adult")</f>
        <v>Adult</v>
      </c>
      <c r="K740" s="4">
        <v>36</v>
      </c>
      <c r="L740" s="4" t="s">
        <v>6</v>
      </c>
      <c r="M740" s="4">
        <v>1</v>
      </c>
      <c r="N740" s="5">
        <v>25</v>
      </c>
      <c r="O740">
        <f>(M740*N740)</f>
        <v>25</v>
      </c>
      <c r="P740">
        <f>O740*$S$3</f>
        <v>0.375</v>
      </c>
      <c r="Q740">
        <f>O740*$S$4</f>
        <v>0.5</v>
      </c>
    </row>
    <row r="741" spans="1:17">
      <c r="A741" s="2">
        <v>740</v>
      </c>
      <c r="B741" s="4">
        <f>DAY(G741)</f>
        <v>5</v>
      </c>
      <c r="C741">
        <f>MONTH(G741)</f>
        <v>2</v>
      </c>
      <c r="D741">
        <f>YEAR(G741)</f>
        <v>2023</v>
      </c>
      <c r="E741" t="str">
        <f>TEXT(G741,"DDDD")</f>
        <v>Sunday</v>
      </c>
      <c r="F741" t="str">
        <f>TEXT(G741,"MMMM")</f>
        <v>February</v>
      </c>
      <c r="G741" s="3">
        <v>44962</v>
      </c>
      <c r="H741" s="4" t="s">
        <v>773</v>
      </c>
      <c r="I741" s="4" t="s">
        <v>3</v>
      </c>
      <c r="J741" s="4" t="str">
        <f>IF(K741&lt;30, "Young Adult","Adult")</f>
        <v>Young Adult</v>
      </c>
      <c r="K741" s="4">
        <v>25</v>
      </c>
      <c r="L741" s="4" t="s">
        <v>6</v>
      </c>
      <c r="M741" s="4">
        <v>4</v>
      </c>
      <c r="N741" s="5">
        <v>50</v>
      </c>
      <c r="O741">
        <f>(M741*N741)</f>
        <v>200</v>
      </c>
      <c r="P741">
        <f>O741*$S$3</f>
        <v>3</v>
      </c>
      <c r="Q741">
        <f>O741*$S$4</f>
        <v>4</v>
      </c>
    </row>
    <row r="742" spans="1:17">
      <c r="A742" s="2">
        <v>741</v>
      </c>
      <c r="B742" s="4">
        <f>DAY(G742)</f>
        <v>30</v>
      </c>
      <c r="C742">
        <f>MONTH(G742)</f>
        <v>11</v>
      </c>
      <c r="D742">
        <f>YEAR(G742)</f>
        <v>2023</v>
      </c>
      <c r="E742" t="str">
        <f>TEXT(G742,"DDDD")</f>
        <v>Thursday</v>
      </c>
      <c r="F742" t="str">
        <f>TEXT(G742,"MMMM")</f>
        <v>November</v>
      </c>
      <c r="G742" s="3">
        <v>45260</v>
      </c>
      <c r="H742" s="4" t="s">
        <v>774</v>
      </c>
      <c r="I742" s="4" t="s">
        <v>4</v>
      </c>
      <c r="J742" s="4" t="str">
        <f>IF(K742&lt;30, "Young Adult","Adult")</f>
        <v>Adult</v>
      </c>
      <c r="K742" s="4">
        <v>48</v>
      </c>
      <c r="L742" s="4" t="s">
        <v>7</v>
      </c>
      <c r="M742" s="4">
        <v>1</v>
      </c>
      <c r="N742" s="5">
        <v>300</v>
      </c>
      <c r="O742">
        <f>(M742*N742)</f>
        <v>300</v>
      </c>
      <c r="P742">
        <f>O742*$S$3</f>
        <v>4.5</v>
      </c>
      <c r="Q742">
        <f>O742*$S$4</f>
        <v>6</v>
      </c>
    </row>
    <row r="743" spans="1:17">
      <c r="A743" s="2">
        <v>742</v>
      </c>
      <c r="B743" s="4">
        <f>DAY(G743)</f>
        <v>21</v>
      </c>
      <c r="C743">
        <f>MONTH(G743)</f>
        <v>1</v>
      </c>
      <c r="D743">
        <f>YEAR(G743)</f>
        <v>2023</v>
      </c>
      <c r="E743" t="str">
        <f>TEXT(G743,"DDDD")</f>
        <v>Saturday</v>
      </c>
      <c r="F743" t="str">
        <f>TEXT(G743,"MMMM")</f>
        <v>January</v>
      </c>
      <c r="G743" s="3">
        <v>44947</v>
      </c>
      <c r="H743" s="4" t="s">
        <v>775</v>
      </c>
      <c r="I743" s="4" t="s">
        <v>3</v>
      </c>
      <c r="J743" s="4" t="str">
        <f>IF(K743&lt;30, "Young Adult","Adult")</f>
        <v>Adult</v>
      </c>
      <c r="K743" s="4">
        <v>38</v>
      </c>
      <c r="L743" s="4" t="s">
        <v>8</v>
      </c>
      <c r="M743" s="4">
        <v>4</v>
      </c>
      <c r="N743" s="5">
        <v>500</v>
      </c>
      <c r="O743">
        <f>(M743*N743)</f>
        <v>2000</v>
      </c>
      <c r="P743">
        <f>O743*$S$3</f>
        <v>30</v>
      </c>
      <c r="Q743">
        <f>O743*$S$4</f>
        <v>40</v>
      </c>
    </row>
    <row r="744" spans="1:17">
      <c r="A744" s="2">
        <v>743</v>
      </c>
      <c r="B744" s="4">
        <f>DAY(G744)</f>
        <v>16</v>
      </c>
      <c r="C744">
        <f>MONTH(G744)</f>
        <v>1</v>
      </c>
      <c r="D744">
        <f>YEAR(G744)</f>
        <v>2023</v>
      </c>
      <c r="E744" t="str">
        <f>TEXT(G744,"DDDD")</f>
        <v>Monday</v>
      </c>
      <c r="F744" t="str">
        <f>TEXT(G744,"MMMM")</f>
        <v>January</v>
      </c>
      <c r="G744" s="3">
        <v>44942</v>
      </c>
      <c r="H744" s="4" t="s">
        <v>776</v>
      </c>
      <c r="I744" s="4" t="s">
        <v>3</v>
      </c>
      <c r="J744" s="4" t="str">
        <f>IF(K744&lt;30, "Young Adult","Adult")</f>
        <v>Adult</v>
      </c>
      <c r="K744" s="4">
        <v>34</v>
      </c>
      <c r="L744" s="4" t="s">
        <v>6</v>
      </c>
      <c r="M744" s="4">
        <v>4</v>
      </c>
      <c r="N744" s="5">
        <v>500</v>
      </c>
      <c r="O744">
        <f>(M744*N744)</f>
        <v>2000</v>
      </c>
      <c r="P744">
        <f>O744*$S$3</f>
        <v>30</v>
      </c>
      <c r="Q744">
        <f>O744*$S$4</f>
        <v>40</v>
      </c>
    </row>
    <row r="745" spans="1:17">
      <c r="A745" s="2">
        <v>744</v>
      </c>
      <c r="B745" s="4">
        <f>DAY(G745)</f>
        <v>7</v>
      </c>
      <c r="C745">
        <f>MONTH(G745)</f>
        <v>5</v>
      </c>
      <c r="D745">
        <f>YEAR(G745)</f>
        <v>2023</v>
      </c>
      <c r="E745" t="str">
        <f>TEXT(G745,"DDDD")</f>
        <v>Sunday</v>
      </c>
      <c r="F745" t="str">
        <f>TEXT(G745,"MMMM")</f>
        <v>May</v>
      </c>
      <c r="G745" s="3">
        <v>45053</v>
      </c>
      <c r="H745" s="4" t="s">
        <v>777</v>
      </c>
      <c r="I745" s="4" t="s">
        <v>4</v>
      </c>
      <c r="J745" s="4" t="str">
        <f>IF(K745&lt;30, "Young Adult","Adult")</f>
        <v>Adult</v>
      </c>
      <c r="K745" s="4">
        <v>40</v>
      </c>
      <c r="L745" s="4" t="s">
        <v>8</v>
      </c>
      <c r="M745" s="4">
        <v>1</v>
      </c>
      <c r="N745" s="5">
        <v>25</v>
      </c>
      <c r="O745">
        <f>(M745*N745)</f>
        <v>25</v>
      </c>
      <c r="P745">
        <f>O745*$S$3</f>
        <v>0.375</v>
      </c>
      <c r="Q745">
        <f>O745*$S$4</f>
        <v>0.5</v>
      </c>
    </row>
    <row r="746" spans="1:17">
      <c r="A746" s="2">
        <v>745</v>
      </c>
      <c r="B746" s="4">
        <f>DAY(G746)</f>
        <v>13</v>
      </c>
      <c r="C746">
        <f>MONTH(G746)</f>
        <v>4</v>
      </c>
      <c r="D746">
        <f>YEAR(G746)</f>
        <v>2023</v>
      </c>
      <c r="E746" t="str">
        <f>TEXT(G746,"DDDD")</f>
        <v>Thursday</v>
      </c>
      <c r="F746" t="str">
        <f>TEXT(G746,"MMMM")</f>
        <v>April</v>
      </c>
      <c r="G746" s="3">
        <v>45029</v>
      </c>
      <c r="H746" s="4" t="s">
        <v>778</v>
      </c>
      <c r="I746" s="4" t="s">
        <v>4</v>
      </c>
      <c r="J746" s="4" t="str">
        <f>IF(K746&lt;30, "Young Adult","Adult")</f>
        <v>Adult</v>
      </c>
      <c r="K746" s="4">
        <v>54</v>
      </c>
      <c r="L746" s="4" t="s">
        <v>6</v>
      </c>
      <c r="M746" s="4">
        <v>2</v>
      </c>
      <c r="N746" s="5">
        <v>50</v>
      </c>
      <c r="O746">
        <f>(M746*N746)</f>
        <v>100</v>
      </c>
      <c r="P746">
        <f>O746*$S$3</f>
        <v>1.5</v>
      </c>
      <c r="Q746">
        <f>O746*$S$4</f>
        <v>2</v>
      </c>
    </row>
    <row r="747" spans="1:17">
      <c r="A747" s="2">
        <v>746</v>
      </c>
      <c r="B747" s="4">
        <f>DAY(G747)</f>
        <v>11</v>
      </c>
      <c r="C747">
        <f>MONTH(G747)</f>
        <v>1</v>
      </c>
      <c r="D747">
        <f>YEAR(G747)</f>
        <v>2023</v>
      </c>
      <c r="E747" t="str">
        <f>TEXT(G747,"DDDD")</f>
        <v>Wednesday</v>
      </c>
      <c r="F747" t="str">
        <f>TEXT(G747,"MMMM")</f>
        <v>January</v>
      </c>
      <c r="G747" s="3">
        <v>44937</v>
      </c>
      <c r="H747" s="4" t="s">
        <v>779</v>
      </c>
      <c r="I747" s="4" t="s">
        <v>3</v>
      </c>
      <c r="J747" s="4" t="str">
        <f>IF(K747&lt;30, "Young Adult","Adult")</f>
        <v>Adult</v>
      </c>
      <c r="K747" s="4">
        <v>33</v>
      </c>
      <c r="L747" s="4" t="s">
        <v>7</v>
      </c>
      <c r="M747" s="4">
        <v>3</v>
      </c>
      <c r="N747" s="5">
        <v>30</v>
      </c>
      <c r="O747">
        <f>(M747*N747)</f>
        <v>90</v>
      </c>
      <c r="P747">
        <f>O747*$S$3</f>
        <v>1.3499999999999999</v>
      </c>
      <c r="Q747">
        <f>O747*$S$4</f>
        <v>1.8</v>
      </c>
    </row>
    <row r="748" spans="1:17">
      <c r="A748" s="2">
        <v>747</v>
      </c>
      <c r="B748" s="4">
        <f>DAY(G748)</f>
        <v>15</v>
      </c>
      <c r="C748">
        <f>MONTH(G748)</f>
        <v>11</v>
      </c>
      <c r="D748">
        <f>YEAR(G748)</f>
        <v>2023</v>
      </c>
      <c r="E748" t="str">
        <f>TEXT(G748,"DDDD")</f>
        <v>Wednesday</v>
      </c>
      <c r="F748" t="str">
        <f>TEXT(G748,"MMMM")</f>
        <v>November</v>
      </c>
      <c r="G748" s="3">
        <v>45245</v>
      </c>
      <c r="H748" s="4" t="s">
        <v>780</v>
      </c>
      <c r="I748" s="4" t="s">
        <v>4</v>
      </c>
      <c r="J748" s="4" t="str">
        <f>IF(K748&lt;30, "Young Adult","Adult")</f>
        <v>Young Adult</v>
      </c>
      <c r="K748" s="4">
        <v>23</v>
      </c>
      <c r="L748" s="4" t="s">
        <v>6</v>
      </c>
      <c r="M748" s="4">
        <v>1</v>
      </c>
      <c r="N748" s="5">
        <v>30</v>
      </c>
      <c r="O748">
        <f>(M748*N748)</f>
        <v>30</v>
      </c>
      <c r="P748">
        <f>O748*$S$3</f>
        <v>0.44999999999999996</v>
      </c>
      <c r="Q748">
        <f>O748*$S$4</f>
        <v>0.6</v>
      </c>
    </row>
    <row r="749" spans="1:17">
      <c r="A749" s="2">
        <v>748</v>
      </c>
      <c r="B749" s="4">
        <f>DAY(G749)</f>
        <v>20</v>
      </c>
      <c r="C749">
        <f>MONTH(G749)</f>
        <v>3</v>
      </c>
      <c r="D749">
        <f>YEAR(G749)</f>
        <v>2023</v>
      </c>
      <c r="E749" t="str">
        <f>TEXT(G749,"DDDD")</f>
        <v>Monday</v>
      </c>
      <c r="F749" t="str">
        <f>TEXT(G749,"MMMM")</f>
        <v>March</v>
      </c>
      <c r="G749" s="3">
        <v>45005</v>
      </c>
      <c r="H749" s="4" t="s">
        <v>781</v>
      </c>
      <c r="I749" s="4" t="s">
        <v>4</v>
      </c>
      <c r="J749" s="4" t="str">
        <f>IF(K749&lt;30, "Young Adult","Adult")</f>
        <v>Young Adult</v>
      </c>
      <c r="K749" s="4">
        <v>25</v>
      </c>
      <c r="L749" s="4" t="s">
        <v>7</v>
      </c>
      <c r="M749" s="4">
        <v>3</v>
      </c>
      <c r="N749" s="5">
        <v>50</v>
      </c>
      <c r="O749">
        <f>(M749*N749)</f>
        <v>150</v>
      </c>
      <c r="P749">
        <f>O749*$S$3</f>
        <v>2.25</v>
      </c>
      <c r="Q749">
        <f>O749*$S$4</f>
        <v>3</v>
      </c>
    </row>
    <row r="750" spans="1:17">
      <c r="A750" s="2">
        <v>749</v>
      </c>
      <c r="B750" s="4">
        <f>DAY(G750)</f>
        <v>3</v>
      </c>
      <c r="C750">
        <f>MONTH(G750)</f>
        <v>5</v>
      </c>
      <c r="D750">
        <f>YEAR(G750)</f>
        <v>2023</v>
      </c>
      <c r="E750" t="str">
        <f>TEXT(G750,"DDDD")</f>
        <v>Wednesday</v>
      </c>
      <c r="F750" t="str">
        <f>TEXT(G750,"MMMM")</f>
        <v>May</v>
      </c>
      <c r="G750" s="3">
        <v>45049</v>
      </c>
      <c r="H750" s="4" t="s">
        <v>782</v>
      </c>
      <c r="I750" s="4" t="s">
        <v>4</v>
      </c>
      <c r="J750" s="4" t="str">
        <f>IF(K750&lt;30, "Young Adult","Adult")</f>
        <v>Adult</v>
      </c>
      <c r="K750" s="4">
        <v>42</v>
      </c>
      <c r="L750" s="4" t="s">
        <v>6</v>
      </c>
      <c r="M750" s="4">
        <v>1</v>
      </c>
      <c r="N750" s="5">
        <v>30</v>
      </c>
      <c r="O750">
        <f>(M750*N750)</f>
        <v>30</v>
      </c>
      <c r="P750">
        <f>O750*$S$3</f>
        <v>0.44999999999999996</v>
      </c>
      <c r="Q750">
        <f>O750*$S$4</f>
        <v>0.6</v>
      </c>
    </row>
    <row r="751" spans="1:17">
      <c r="A751" s="2">
        <v>750</v>
      </c>
      <c r="B751" s="4">
        <f>DAY(G751)</f>
        <v>6</v>
      </c>
      <c r="C751">
        <f>MONTH(G751)</f>
        <v>3</v>
      </c>
      <c r="D751">
        <f>YEAR(G751)</f>
        <v>2023</v>
      </c>
      <c r="E751" t="str">
        <f>TEXT(G751,"DDDD")</f>
        <v>Monday</v>
      </c>
      <c r="F751" t="str">
        <f>TEXT(G751,"MMMM")</f>
        <v>March</v>
      </c>
      <c r="G751" s="3">
        <v>44991</v>
      </c>
      <c r="H751" s="4" t="s">
        <v>783</v>
      </c>
      <c r="I751" s="4" t="s">
        <v>3</v>
      </c>
      <c r="J751" s="4" t="str">
        <f>IF(K751&lt;30, "Young Adult","Adult")</f>
        <v>Adult</v>
      </c>
      <c r="K751" s="4">
        <v>35</v>
      </c>
      <c r="L751" s="4" t="s">
        <v>7</v>
      </c>
      <c r="M751" s="4">
        <v>3</v>
      </c>
      <c r="N751" s="5">
        <v>25</v>
      </c>
      <c r="O751">
        <f>(M751*N751)</f>
        <v>75</v>
      </c>
      <c r="P751">
        <f>O751*$S$3</f>
        <v>1.125</v>
      </c>
      <c r="Q751">
        <f>O751*$S$4</f>
        <v>1.5</v>
      </c>
    </row>
    <row r="752" spans="1:17">
      <c r="A752" s="2">
        <v>751</v>
      </c>
      <c r="B752" s="4">
        <f>DAY(G752)</f>
        <v>31</v>
      </c>
      <c r="C752">
        <f>MONTH(G752)</f>
        <v>8</v>
      </c>
      <c r="D752">
        <f>YEAR(G752)</f>
        <v>2023</v>
      </c>
      <c r="E752" t="str">
        <f>TEXT(G752,"DDDD")</f>
        <v>Thursday</v>
      </c>
      <c r="F752" t="str">
        <f>TEXT(G752,"MMMM")</f>
        <v>August</v>
      </c>
      <c r="G752" s="3">
        <v>45169</v>
      </c>
      <c r="H752" s="4" t="s">
        <v>784</v>
      </c>
      <c r="I752" s="4" t="s">
        <v>3</v>
      </c>
      <c r="J752" s="4" t="str">
        <f>IF(K752&lt;30, "Young Adult","Adult")</f>
        <v>Adult</v>
      </c>
      <c r="K752" s="4">
        <v>42</v>
      </c>
      <c r="L752" s="4" t="s">
        <v>7</v>
      </c>
      <c r="M752" s="4">
        <v>2</v>
      </c>
      <c r="N752" s="5">
        <v>25</v>
      </c>
      <c r="O752">
        <f>(M752*N752)</f>
        <v>50</v>
      </c>
      <c r="P752">
        <f>O752*$S$3</f>
        <v>0.75</v>
      </c>
      <c r="Q752">
        <f>O752*$S$4</f>
        <v>1</v>
      </c>
    </row>
    <row r="753" spans="1:17">
      <c r="A753" s="2">
        <v>752</v>
      </c>
      <c r="B753" s="4">
        <f>DAY(G753)</f>
        <v>9</v>
      </c>
      <c r="C753">
        <f>MONTH(G753)</f>
        <v>12</v>
      </c>
      <c r="D753">
        <f>YEAR(G753)</f>
        <v>2023</v>
      </c>
      <c r="E753" t="str">
        <f>TEXT(G753,"DDDD")</f>
        <v>Saturday</v>
      </c>
      <c r="F753" t="str">
        <f>TEXT(G753,"MMMM")</f>
        <v>December</v>
      </c>
      <c r="G753" s="3">
        <v>45269</v>
      </c>
      <c r="H753" s="4" t="s">
        <v>785</v>
      </c>
      <c r="I753" s="4" t="s">
        <v>4</v>
      </c>
      <c r="J753" s="4" t="str">
        <f>IF(K753&lt;30, "Young Adult","Adult")</f>
        <v>Young Adult</v>
      </c>
      <c r="K753" s="4">
        <v>29</v>
      </c>
      <c r="L753" s="4" t="s">
        <v>7</v>
      </c>
      <c r="M753" s="4">
        <v>2</v>
      </c>
      <c r="N753" s="5">
        <v>50</v>
      </c>
      <c r="O753">
        <f>(M753*N753)</f>
        <v>100</v>
      </c>
      <c r="P753">
        <f>O753*$S$3</f>
        <v>1.5</v>
      </c>
      <c r="Q753">
        <f>O753*$S$4</f>
        <v>2</v>
      </c>
    </row>
    <row r="754" spans="1:17">
      <c r="A754" s="2">
        <v>753</v>
      </c>
      <c r="B754" s="4">
        <f>DAY(G754)</f>
        <v>28</v>
      </c>
      <c r="C754">
        <f>MONTH(G754)</f>
        <v>2</v>
      </c>
      <c r="D754">
        <f>YEAR(G754)</f>
        <v>2023</v>
      </c>
      <c r="E754" t="str">
        <f>TEXT(G754,"DDDD")</f>
        <v>Tuesday</v>
      </c>
      <c r="F754" t="str">
        <f>TEXT(G754,"MMMM")</f>
        <v>February</v>
      </c>
      <c r="G754" s="3">
        <v>44985</v>
      </c>
      <c r="H754" s="4" t="s">
        <v>786</v>
      </c>
      <c r="I754" s="4" t="s">
        <v>3</v>
      </c>
      <c r="J754" s="4" t="str">
        <f>IF(K754&lt;30, "Young Adult","Adult")</f>
        <v>Adult</v>
      </c>
      <c r="K754" s="4">
        <v>32</v>
      </c>
      <c r="L754" s="4" t="s">
        <v>7</v>
      </c>
      <c r="M754" s="4">
        <v>1</v>
      </c>
      <c r="N754" s="5">
        <v>30</v>
      </c>
      <c r="O754">
        <f>(M754*N754)</f>
        <v>30</v>
      </c>
      <c r="P754">
        <f>O754*$S$3</f>
        <v>0.44999999999999996</v>
      </c>
      <c r="Q754">
        <f>O754*$S$4</f>
        <v>0.6</v>
      </c>
    </row>
    <row r="755" spans="1:17">
      <c r="A755" s="2">
        <v>754</v>
      </c>
      <c r="B755" s="4">
        <f>DAY(G755)</f>
        <v>16</v>
      </c>
      <c r="C755">
        <f>MONTH(G755)</f>
        <v>10</v>
      </c>
      <c r="D755">
        <f>YEAR(G755)</f>
        <v>2023</v>
      </c>
      <c r="E755" t="str">
        <f>TEXT(G755,"DDDD")</f>
        <v>Monday</v>
      </c>
      <c r="F755" t="str">
        <f>TEXT(G755,"MMMM")</f>
        <v>October</v>
      </c>
      <c r="G755" s="3">
        <v>45215</v>
      </c>
      <c r="H755" s="4" t="s">
        <v>787</v>
      </c>
      <c r="I755" s="4" t="s">
        <v>3</v>
      </c>
      <c r="J755" s="4" t="str">
        <f>IF(K755&lt;30, "Young Adult","Adult")</f>
        <v>Adult</v>
      </c>
      <c r="K755" s="4">
        <v>43</v>
      </c>
      <c r="L755" s="4" t="s">
        <v>8</v>
      </c>
      <c r="M755" s="4">
        <v>4</v>
      </c>
      <c r="N755" s="5">
        <v>25</v>
      </c>
      <c r="O755">
        <f>(M755*N755)</f>
        <v>100</v>
      </c>
      <c r="P755">
        <f>O755*$S$3</f>
        <v>1.5</v>
      </c>
      <c r="Q755">
        <f>O755*$S$4</f>
        <v>2</v>
      </c>
    </row>
    <row r="756" spans="1:17">
      <c r="A756" s="2">
        <v>755</v>
      </c>
      <c r="B756" s="4">
        <f>DAY(G756)</f>
        <v>22</v>
      </c>
      <c r="C756">
        <f>MONTH(G756)</f>
        <v>4</v>
      </c>
      <c r="D756">
        <f>YEAR(G756)</f>
        <v>2023</v>
      </c>
      <c r="E756" t="str">
        <f>TEXT(G756,"DDDD")</f>
        <v>Saturday</v>
      </c>
      <c r="F756" t="str">
        <f>TEXT(G756,"MMMM")</f>
        <v>April</v>
      </c>
      <c r="G756" s="3">
        <v>45038</v>
      </c>
      <c r="H756" s="4" t="s">
        <v>788</v>
      </c>
      <c r="I756" s="4" t="s">
        <v>3</v>
      </c>
      <c r="J756" s="4" t="str">
        <f>IF(K756&lt;30, "Young Adult","Adult")</f>
        <v>Adult</v>
      </c>
      <c r="K756" s="4">
        <v>58</v>
      </c>
      <c r="L756" s="4" t="s">
        <v>7</v>
      </c>
      <c r="M756" s="4">
        <v>3</v>
      </c>
      <c r="N756" s="5">
        <v>25</v>
      </c>
      <c r="O756">
        <f>(M756*N756)</f>
        <v>75</v>
      </c>
      <c r="P756">
        <f>O756*$S$3</f>
        <v>1.125</v>
      </c>
      <c r="Q756">
        <f>O756*$S$4</f>
        <v>1.5</v>
      </c>
    </row>
    <row r="757" spans="1:17">
      <c r="A757" s="2">
        <v>756</v>
      </c>
      <c r="B757" s="4">
        <f>DAY(G757)</f>
        <v>27</v>
      </c>
      <c r="C757">
        <f>MONTH(G757)</f>
        <v>8</v>
      </c>
      <c r="D757">
        <f>YEAR(G757)</f>
        <v>2023</v>
      </c>
      <c r="E757" t="str">
        <f>TEXT(G757,"DDDD")</f>
        <v>Sunday</v>
      </c>
      <c r="F757" t="str">
        <f>TEXT(G757,"MMMM")</f>
        <v>August</v>
      </c>
      <c r="G757" s="3">
        <v>45165</v>
      </c>
      <c r="H757" s="4" t="s">
        <v>789</v>
      </c>
      <c r="I757" s="4" t="s">
        <v>3</v>
      </c>
      <c r="J757" s="4" t="str">
        <f>IF(K757&lt;30, "Young Adult","Adult")</f>
        <v>Adult</v>
      </c>
      <c r="K757" s="4">
        <v>62</v>
      </c>
      <c r="L757" s="4" t="s">
        <v>8</v>
      </c>
      <c r="M757" s="4">
        <v>4</v>
      </c>
      <c r="N757" s="5">
        <v>300</v>
      </c>
      <c r="O757">
        <f>(M757*N757)</f>
        <v>1200</v>
      </c>
      <c r="P757">
        <f>O757*$S$3</f>
        <v>18</v>
      </c>
      <c r="Q757">
        <f>O757*$S$4</f>
        <v>24</v>
      </c>
    </row>
    <row r="758" spans="1:17">
      <c r="A758" s="2">
        <v>757</v>
      </c>
      <c r="B758" s="4">
        <f>DAY(G758)</f>
        <v>25</v>
      </c>
      <c r="C758">
        <f>MONTH(G758)</f>
        <v>12</v>
      </c>
      <c r="D758">
        <f>YEAR(G758)</f>
        <v>2023</v>
      </c>
      <c r="E758" t="str">
        <f>TEXT(G758,"DDDD")</f>
        <v>Monday</v>
      </c>
      <c r="F758" t="str">
        <f>TEXT(G758,"MMMM")</f>
        <v>December</v>
      </c>
      <c r="G758" s="3">
        <v>45285</v>
      </c>
      <c r="H758" s="4" t="s">
        <v>790</v>
      </c>
      <c r="I758" s="4" t="s">
        <v>3</v>
      </c>
      <c r="J758" s="4" t="str">
        <f>IF(K758&lt;30, "Young Adult","Adult")</f>
        <v>Adult</v>
      </c>
      <c r="K758" s="4">
        <v>43</v>
      </c>
      <c r="L758" s="4" t="s">
        <v>8</v>
      </c>
      <c r="M758" s="4">
        <v>4</v>
      </c>
      <c r="N758" s="5">
        <v>300</v>
      </c>
      <c r="O758">
        <f>(M758*N758)</f>
        <v>1200</v>
      </c>
      <c r="P758">
        <f>O758*$S$3</f>
        <v>18</v>
      </c>
      <c r="Q758">
        <f>O758*$S$4</f>
        <v>24</v>
      </c>
    </row>
    <row r="759" spans="1:17">
      <c r="A759" s="2">
        <v>758</v>
      </c>
      <c r="B759" s="4">
        <f>DAY(G759)</f>
        <v>12</v>
      </c>
      <c r="C759">
        <f>MONTH(G759)</f>
        <v>5</v>
      </c>
      <c r="D759">
        <f>YEAR(G759)</f>
        <v>2023</v>
      </c>
      <c r="E759" t="str">
        <f>TEXT(G759,"DDDD")</f>
        <v>Friday</v>
      </c>
      <c r="F759" t="str">
        <f>TEXT(G759,"MMMM")</f>
        <v>May</v>
      </c>
      <c r="G759" s="3">
        <v>45058</v>
      </c>
      <c r="H759" s="4" t="s">
        <v>791</v>
      </c>
      <c r="I759" s="4" t="s">
        <v>4</v>
      </c>
      <c r="J759" s="4" t="str">
        <f>IF(K759&lt;30, "Young Adult","Adult")</f>
        <v>Adult</v>
      </c>
      <c r="K759" s="4">
        <v>64</v>
      </c>
      <c r="L759" s="4" t="s">
        <v>7</v>
      </c>
      <c r="M759" s="4">
        <v>4</v>
      </c>
      <c r="N759" s="5">
        <v>25</v>
      </c>
      <c r="O759">
        <f>(M759*N759)</f>
        <v>100</v>
      </c>
      <c r="P759">
        <f>O759*$S$3</f>
        <v>1.5</v>
      </c>
      <c r="Q759">
        <f>O759*$S$4</f>
        <v>2</v>
      </c>
    </row>
    <row r="760" spans="1:17">
      <c r="A760" s="2">
        <v>759</v>
      </c>
      <c r="B760" s="4">
        <f>DAY(G760)</f>
        <v>8</v>
      </c>
      <c r="C760">
        <f>MONTH(G760)</f>
        <v>7</v>
      </c>
      <c r="D760">
        <f>YEAR(G760)</f>
        <v>2023</v>
      </c>
      <c r="E760" t="str">
        <f>TEXT(G760,"DDDD")</f>
        <v>Saturday</v>
      </c>
      <c r="F760" t="str">
        <f>TEXT(G760,"MMMM")</f>
        <v>July</v>
      </c>
      <c r="G760" s="3">
        <v>45115</v>
      </c>
      <c r="H760" s="4" t="s">
        <v>792</v>
      </c>
      <c r="I760" s="4" t="s">
        <v>4</v>
      </c>
      <c r="J760" s="4" t="str">
        <f>IF(K760&lt;30, "Young Adult","Adult")</f>
        <v>Adult</v>
      </c>
      <c r="K760" s="4">
        <v>49</v>
      </c>
      <c r="L760" s="4" t="s">
        <v>8</v>
      </c>
      <c r="M760" s="4">
        <v>2</v>
      </c>
      <c r="N760" s="5">
        <v>50</v>
      </c>
      <c r="O760">
        <f>(M760*N760)</f>
        <v>100</v>
      </c>
      <c r="P760">
        <f>O760*$S$3</f>
        <v>1.5</v>
      </c>
      <c r="Q760">
        <f>O760*$S$4</f>
        <v>2</v>
      </c>
    </row>
    <row r="761" spans="1:17">
      <c r="A761" s="2">
        <v>760</v>
      </c>
      <c r="B761" s="4">
        <f>DAY(G761)</f>
        <v>27</v>
      </c>
      <c r="C761">
        <f>MONTH(G761)</f>
        <v>3</v>
      </c>
      <c r="D761">
        <f>YEAR(G761)</f>
        <v>2023</v>
      </c>
      <c r="E761" t="str">
        <f>TEXT(G761,"DDDD")</f>
        <v>Monday</v>
      </c>
      <c r="F761" t="str">
        <f>TEXT(G761,"MMMM")</f>
        <v>March</v>
      </c>
      <c r="G761" s="3">
        <v>45012</v>
      </c>
      <c r="H761" s="4" t="s">
        <v>793</v>
      </c>
      <c r="I761" s="4" t="s">
        <v>4</v>
      </c>
      <c r="J761" s="4" t="str">
        <f>IF(K761&lt;30, "Young Adult","Adult")</f>
        <v>Young Adult</v>
      </c>
      <c r="K761" s="4">
        <v>27</v>
      </c>
      <c r="L761" s="4" t="s">
        <v>6</v>
      </c>
      <c r="M761" s="4">
        <v>1</v>
      </c>
      <c r="N761" s="5">
        <v>500</v>
      </c>
      <c r="O761">
        <f>(M761*N761)</f>
        <v>500</v>
      </c>
      <c r="P761">
        <f>O761*$S$3</f>
        <v>7.5</v>
      </c>
      <c r="Q761">
        <f>O761*$S$4</f>
        <v>10</v>
      </c>
    </row>
    <row r="762" spans="1:17">
      <c r="A762" s="2">
        <v>761</v>
      </c>
      <c r="B762" s="4">
        <f>DAY(G762)</f>
        <v>7</v>
      </c>
      <c r="C762">
        <f>MONTH(G762)</f>
        <v>11</v>
      </c>
      <c r="D762">
        <f>YEAR(G762)</f>
        <v>2023</v>
      </c>
      <c r="E762" t="str">
        <f>TEXT(G762,"DDDD")</f>
        <v>Tuesday</v>
      </c>
      <c r="F762" t="str">
        <f>TEXT(G762,"MMMM")</f>
        <v>November</v>
      </c>
      <c r="G762" s="3">
        <v>45237</v>
      </c>
      <c r="H762" s="4" t="s">
        <v>794</v>
      </c>
      <c r="I762" s="4" t="s">
        <v>3</v>
      </c>
      <c r="J762" s="4" t="str">
        <f>IF(K762&lt;30, "Young Adult","Adult")</f>
        <v>Adult</v>
      </c>
      <c r="K762" s="4">
        <v>33</v>
      </c>
      <c r="L762" s="4" t="s">
        <v>7</v>
      </c>
      <c r="M762" s="4">
        <v>1</v>
      </c>
      <c r="N762" s="5">
        <v>500</v>
      </c>
      <c r="O762">
        <f>(M762*N762)</f>
        <v>500</v>
      </c>
      <c r="P762">
        <f>O762*$S$3</f>
        <v>7.5</v>
      </c>
      <c r="Q762">
        <f>O762*$S$4</f>
        <v>10</v>
      </c>
    </row>
    <row r="763" spans="1:17">
      <c r="A763" s="2">
        <v>762</v>
      </c>
      <c r="B763" s="4">
        <f>DAY(G763)</f>
        <v>7</v>
      </c>
      <c r="C763">
        <f>MONTH(G763)</f>
        <v>11</v>
      </c>
      <c r="D763">
        <f>YEAR(G763)</f>
        <v>2023</v>
      </c>
      <c r="E763" t="str">
        <f>TEXT(G763,"DDDD")</f>
        <v>Tuesday</v>
      </c>
      <c r="F763" t="str">
        <f>TEXT(G763,"MMMM")</f>
        <v>November</v>
      </c>
      <c r="G763" s="3">
        <v>45237</v>
      </c>
      <c r="H763" s="4" t="s">
        <v>795</v>
      </c>
      <c r="I763" s="4" t="s">
        <v>3</v>
      </c>
      <c r="J763" s="4" t="str">
        <f>IF(K763&lt;30, "Young Adult","Adult")</f>
        <v>Young Adult</v>
      </c>
      <c r="K763" s="4">
        <v>24</v>
      </c>
      <c r="L763" s="4" t="s">
        <v>8</v>
      </c>
      <c r="M763" s="4">
        <v>2</v>
      </c>
      <c r="N763" s="5">
        <v>25</v>
      </c>
      <c r="O763">
        <f>(M763*N763)</f>
        <v>50</v>
      </c>
      <c r="P763">
        <f>O763*$S$3</f>
        <v>0.75</v>
      </c>
      <c r="Q763">
        <f>O763*$S$4</f>
        <v>1</v>
      </c>
    </row>
    <row r="764" spans="1:17">
      <c r="A764" s="2">
        <v>763</v>
      </c>
      <c r="B764" s="4">
        <f>DAY(G764)</f>
        <v>28</v>
      </c>
      <c r="C764">
        <f>MONTH(G764)</f>
        <v>2</v>
      </c>
      <c r="D764">
        <f>YEAR(G764)</f>
        <v>2023</v>
      </c>
      <c r="E764" t="str">
        <f>TEXT(G764,"DDDD")</f>
        <v>Tuesday</v>
      </c>
      <c r="F764" t="str">
        <f>TEXT(G764,"MMMM")</f>
        <v>February</v>
      </c>
      <c r="G764" s="3">
        <v>44985</v>
      </c>
      <c r="H764" s="4" t="s">
        <v>796</v>
      </c>
      <c r="I764" s="4" t="s">
        <v>4</v>
      </c>
      <c r="J764" s="4" t="str">
        <f>IF(K764&lt;30, "Young Adult","Adult")</f>
        <v>Adult</v>
      </c>
      <c r="K764" s="4">
        <v>34</v>
      </c>
      <c r="L764" s="4" t="s">
        <v>7</v>
      </c>
      <c r="M764" s="4">
        <v>2</v>
      </c>
      <c r="N764" s="5">
        <v>25</v>
      </c>
      <c r="O764">
        <f>(M764*N764)</f>
        <v>50</v>
      </c>
      <c r="P764">
        <f>O764*$S$3</f>
        <v>0.75</v>
      </c>
      <c r="Q764">
        <f>O764*$S$4</f>
        <v>1</v>
      </c>
    </row>
    <row r="765" spans="1:17">
      <c r="A765" s="2">
        <v>764</v>
      </c>
      <c r="B765" s="4">
        <f>DAY(G765)</f>
        <v>25</v>
      </c>
      <c r="C765">
        <f>MONTH(G765)</f>
        <v>3</v>
      </c>
      <c r="D765">
        <f>YEAR(G765)</f>
        <v>2023</v>
      </c>
      <c r="E765" t="str">
        <f>TEXT(G765,"DDDD")</f>
        <v>Saturday</v>
      </c>
      <c r="F765" t="str">
        <f>TEXT(G765,"MMMM")</f>
        <v>March</v>
      </c>
      <c r="G765" s="3">
        <v>45010</v>
      </c>
      <c r="H765" s="4" t="s">
        <v>797</v>
      </c>
      <c r="I765" s="4" t="s">
        <v>3</v>
      </c>
      <c r="J765" s="4" t="str">
        <f>IF(K765&lt;30, "Young Adult","Adult")</f>
        <v>Adult</v>
      </c>
      <c r="K765" s="4">
        <v>40</v>
      </c>
      <c r="L765" s="4" t="s">
        <v>7</v>
      </c>
      <c r="M765" s="4">
        <v>1</v>
      </c>
      <c r="N765" s="5">
        <v>25</v>
      </c>
      <c r="O765">
        <f>(M765*N765)</f>
        <v>25</v>
      </c>
      <c r="P765">
        <f>O765*$S$3</f>
        <v>0.375</v>
      </c>
      <c r="Q765">
        <f>O765*$S$4</f>
        <v>0.5</v>
      </c>
    </row>
    <row r="766" spans="1:17">
      <c r="A766" s="2">
        <v>765</v>
      </c>
      <c r="B766" s="4">
        <f>DAY(G766)</f>
        <v>9</v>
      </c>
      <c r="C766">
        <f>MONTH(G766)</f>
        <v>6</v>
      </c>
      <c r="D766">
        <f>YEAR(G766)</f>
        <v>2023</v>
      </c>
      <c r="E766" t="str">
        <f>TEXT(G766,"DDDD")</f>
        <v>Friday</v>
      </c>
      <c r="F766" t="str">
        <f>TEXT(G766,"MMMM")</f>
        <v>June</v>
      </c>
      <c r="G766" s="3">
        <v>45086</v>
      </c>
      <c r="H766" s="4" t="s">
        <v>798</v>
      </c>
      <c r="I766" s="4" t="s">
        <v>4</v>
      </c>
      <c r="J766" s="4" t="str">
        <f>IF(K766&lt;30, "Young Adult","Adult")</f>
        <v>Adult</v>
      </c>
      <c r="K766" s="4">
        <v>43</v>
      </c>
      <c r="L766" s="4" t="s">
        <v>7</v>
      </c>
      <c r="M766" s="4">
        <v>4</v>
      </c>
      <c r="N766" s="5">
        <v>50</v>
      </c>
      <c r="O766">
        <f>(M766*N766)</f>
        <v>200</v>
      </c>
      <c r="P766">
        <f>O766*$S$3</f>
        <v>3</v>
      </c>
      <c r="Q766">
        <f>O766*$S$4</f>
        <v>4</v>
      </c>
    </row>
    <row r="767" spans="1:17">
      <c r="A767" s="2">
        <v>766</v>
      </c>
      <c r="B767" s="4">
        <f>DAY(G767)</f>
        <v>25</v>
      </c>
      <c r="C767">
        <f>MONTH(G767)</f>
        <v>2</v>
      </c>
      <c r="D767">
        <f>YEAR(G767)</f>
        <v>2023</v>
      </c>
      <c r="E767" t="str">
        <f>TEXT(G767,"DDDD")</f>
        <v>Saturday</v>
      </c>
      <c r="F767" t="str">
        <f>TEXT(G767,"MMMM")</f>
        <v>February</v>
      </c>
      <c r="G767" s="3">
        <v>44982</v>
      </c>
      <c r="H767" s="4" t="s">
        <v>799</v>
      </c>
      <c r="I767" s="4" t="s">
        <v>4</v>
      </c>
      <c r="J767" s="4" t="str">
        <f>IF(K767&lt;30, "Young Adult","Adult")</f>
        <v>Adult</v>
      </c>
      <c r="K767" s="4">
        <v>38</v>
      </c>
      <c r="L767" s="4" t="s">
        <v>8</v>
      </c>
      <c r="M767" s="4">
        <v>3</v>
      </c>
      <c r="N767" s="5">
        <v>300</v>
      </c>
      <c r="O767">
        <f>(M767*N767)</f>
        <v>900</v>
      </c>
      <c r="P767">
        <f>O767*$S$3</f>
        <v>13.5</v>
      </c>
      <c r="Q767">
        <f>O767*$S$4</f>
        <v>18</v>
      </c>
    </row>
    <row r="768" spans="1:17">
      <c r="A768" s="2">
        <v>767</v>
      </c>
      <c r="B768" s="4">
        <f>DAY(G768)</f>
        <v>24</v>
      </c>
      <c r="C768">
        <f>MONTH(G768)</f>
        <v>10</v>
      </c>
      <c r="D768">
        <f>YEAR(G768)</f>
        <v>2023</v>
      </c>
      <c r="E768" t="str">
        <f>TEXT(G768,"DDDD")</f>
        <v>Tuesday</v>
      </c>
      <c r="F768" t="str">
        <f>TEXT(G768,"MMMM")</f>
        <v>October</v>
      </c>
      <c r="G768" s="3">
        <v>45223</v>
      </c>
      <c r="H768" s="4" t="s">
        <v>800</v>
      </c>
      <c r="I768" s="4" t="s">
        <v>4</v>
      </c>
      <c r="J768" s="4" t="str">
        <f>IF(K768&lt;30, "Young Adult","Adult")</f>
        <v>Adult</v>
      </c>
      <c r="K768" s="4">
        <v>39</v>
      </c>
      <c r="L768" s="4" t="s">
        <v>6</v>
      </c>
      <c r="M768" s="4">
        <v>3</v>
      </c>
      <c r="N768" s="5">
        <v>25</v>
      </c>
      <c r="O768">
        <f>(M768*N768)</f>
        <v>75</v>
      </c>
      <c r="P768">
        <f>O768*$S$3</f>
        <v>1.125</v>
      </c>
      <c r="Q768">
        <f>O768*$S$4</f>
        <v>1.5</v>
      </c>
    </row>
    <row r="769" spans="1:17">
      <c r="A769" s="2">
        <v>768</v>
      </c>
      <c r="B769" s="4">
        <f>DAY(G769)</f>
        <v>14</v>
      </c>
      <c r="C769">
        <f>MONTH(G769)</f>
        <v>1</v>
      </c>
      <c r="D769">
        <f>YEAR(G769)</f>
        <v>2023</v>
      </c>
      <c r="E769" t="str">
        <f>TEXT(G769,"DDDD")</f>
        <v>Saturday</v>
      </c>
      <c r="F769" t="str">
        <f>TEXT(G769,"MMMM")</f>
        <v>January</v>
      </c>
      <c r="G769" s="3">
        <v>44940</v>
      </c>
      <c r="H769" s="4" t="s">
        <v>801</v>
      </c>
      <c r="I769" s="4" t="s">
        <v>3</v>
      </c>
      <c r="J769" s="4" t="str">
        <f>IF(K769&lt;30, "Young Adult","Adult")</f>
        <v>Young Adult</v>
      </c>
      <c r="K769" s="4">
        <v>24</v>
      </c>
      <c r="L769" s="4" t="s">
        <v>6</v>
      </c>
      <c r="M769" s="4">
        <v>3</v>
      </c>
      <c r="N769" s="5">
        <v>25</v>
      </c>
      <c r="O769">
        <f>(M769*N769)</f>
        <v>75</v>
      </c>
      <c r="P769">
        <f>O769*$S$3</f>
        <v>1.125</v>
      </c>
      <c r="Q769">
        <f>O769*$S$4</f>
        <v>1.5</v>
      </c>
    </row>
    <row r="770" spans="1:17">
      <c r="A770" s="2">
        <v>769</v>
      </c>
      <c r="B770" s="4">
        <f>DAY(G770)</f>
        <v>9</v>
      </c>
      <c r="C770">
        <f>MONTH(G770)</f>
        <v>6</v>
      </c>
      <c r="D770">
        <f>YEAR(G770)</f>
        <v>2023</v>
      </c>
      <c r="E770" t="str">
        <f>TEXT(G770,"DDDD")</f>
        <v>Friday</v>
      </c>
      <c r="F770" t="str">
        <f>TEXT(G770,"MMMM")</f>
        <v>June</v>
      </c>
      <c r="G770" s="3">
        <v>45086</v>
      </c>
      <c r="H770" s="4" t="s">
        <v>802</v>
      </c>
      <c r="I770" s="4" t="s">
        <v>3</v>
      </c>
      <c r="J770" s="4" t="str">
        <f>IF(K770&lt;30, "Young Adult","Adult")</f>
        <v>Adult</v>
      </c>
      <c r="K770" s="4">
        <v>31</v>
      </c>
      <c r="L770" s="4" t="s">
        <v>8</v>
      </c>
      <c r="M770" s="4">
        <v>4</v>
      </c>
      <c r="N770" s="5">
        <v>30</v>
      </c>
      <c r="O770">
        <f>(M770*N770)</f>
        <v>120</v>
      </c>
      <c r="P770">
        <f>O770*$S$3</f>
        <v>1.7999999999999998</v>
      </c>
      <c r="Q770">
        <f>O770*$S$4</f>
        <v>2.4</v>
      </c>
    </row>
    <row r="771" spans="1:17">
      <c r="A771" s="2">
        <v>770</v>
      </c>
      <c r="B771" s="4">
        <f>DAY(G771)</f>
        <v>22</v>
      </c>
      <c r="C771">
        <f>MONTH(G771)</f>
        <v>10</v>
      </c>
      <c r="D771">
        <f>YEAR(G771)</f>
        <v>2023</v>
      </c>
      <c r="E771" t="str">
        <f>TEXT(G771,"DDDD")</f>
        <v>Sunday</v>
      </c>
      <c r="F771" t="str">
        <f>TEXT(G771,"MMMM")</f>
        <v>October</v>
      </c>
      <c r="G771" s="3">
        <v>45221</v>
      </c>
      <c r="H771" s="4" t="s">
        <v>803</v>
      </c>
      <c r="I771" s="4" t="s">
        <v>4</v>
      </c>
      <c r="J771" s="4" t="str">
        <f>IF(K771&lt;30, "Young Adult","Adult")</f>
        <v>Adult</v>
      </c>
      <c r="K771" s="4">
        <v>32</v>
      </c>
      <c r="L771" s="4" t="s">
        <v>7</v>
      </c>
      <c r="M771" s="4">
        <v>1</v>
      </c>
      <c r="N771" s="5">
        <v>50</v>
      </c>
      <c r="O771">
        <f>(M771*N771)</f>
        <v>50</v>
      </c>
      <c r="P771">
        <f>O771*$S$3</f>
        <v>0.75</v>
      </c>
      <c r="Q771">
        <f>O771*$S$4</f>
        <v>1</v>
      </c>
    </row>
    <row r="772" spans="1:17">
      <c r="A772" s="2">
        <v>771</v>
      </c>
      <c r="B772" s="4">
        <f>DAY(G772)</f>
        <v>13</v>
      </c>
      <c r="C772">
        <f>MONTH(G772)</f>
        <v>12</v>
      </c>
      <c r="D772">
        <f>YEAR(G772)</f>
        <v>2023</v>
      </c>
      <c r="E772" t="str">
        <f>TEXT(G772,"DDDD")</f>
        <v>Wednesday</v>
      </c>
      <c r="F772" t="str">
        <f>TEXT(G772,"MMMM")</f>
        <v>December</v>
      </c>
      <c r="G772" s="3">
        <v>45273</v>
      </c>
      <c r="H772" s="4" t="s">
        <v>804</v>
      </c>
      <c r="I772" s="4" t="s">
        <v>4</v>
      </c>
      <c r="J772" s="4" t="str">
        <f>IF(K772&lt;30, "Young Adult","Adult")</f>
        <v>Young Adult</v>
      </c>
      <c r="K772" s="4">
        <v>24</v>
      </c>
      <c r="L772" s="4" t="s">
        <v>8</v>
      </c>
      <c r="M772" s="4">
        <v>2</v>
      </c>
      <c r="N772" s="5">
        <v>25</v>
      </c>
      <c r="O772">
        <f>(M772*N772)</f>
        <v>50</v>
      </c>
      <c r="P772">
        <f>O772*$S$3</f>
        <v>0.75</v>
      </c>
      <c r="Q772">
        <f>O772*$S$4</f>
        <v>1</v>
      </c>
    </row>
    <row r="773" spans="1:17">
      <c r="A773" s="2">
        <v>772</v>
      </c>
      <c r="B773" s="4">
        <f>DAY(G773)</f>
        <v>12</v>
      </c>
      <c r="C773">
        <f>MONTH(G773)</f>
        <v>7</v>
      </c>
      <c r="D773">
        <f>YEAR(G773)</f>
        <v>2023</v>
      </c>
      <c r="E773" t="str">
        <f>TEXT(G773,"DDDD")</f>
        <v>Wednesday</v>
      </c>
      <c r="F773" t="str">
        <f>TEXT(G773,"MMMM")</f>
        <v>July</v>
      </c>
      <c r="G773" s="3">
        <v>45119</v>
      </c>
      <c r="H773" s="4" t="s">
        <v>805</v>
      </c>
      <c r="I773" s="4" t="s">
        <v>4</v>
      </c>
      <c r="J773" s="4" t="str">
        <f>IF(K773&lt;30, "Young Adult","Adult")</f>
        <v>Young Adult</v>
      </c>
      <c r="K773" s="4">
        <v>26</v>
      </c>
      <c r="L773" s="4" t="s">
        <v>8</v>
      </c>
      <c r="M773" s="4">
        <v>1</v>
      </c>
      <c r="N773" s="5">
        <v>30</v>
      </c>
      <c r="O773">
        <f>(M773*N773)</f>
        <v>30</v>
      </c>
      <c r="P773">
        <f>O773*$S$3</f>
        <v>0.44999999999999996</v>
      </c>
      <c r="Q773">
        <f>O773*$S$4</f>
        <v>0.6</v>
      </c>
    </row>
    <row r="774" spans="1:17">
      <c r="A774" s="2">
        <v>773</v>
      </c>
      <c r="B774" s="4">
        <f>DAY(G774)</f>
        <v>23</v>
      </c>
      <c r="C774">
        <f>MONTH(G774)</f>
        <v>7</v>
      </c>
      <c r="D774">
        <f>YEAR(G774)</f>
        <v>2023</v>
      </c>
      <c r="E774" t="str">
        <f>TEXT(G774,"DDDD")</f>
        <v>Sunday</v>
      </c>
      <c r="F774" t="str">
        <f>TEXT(G774,"MMMM")</f>
        <v>July</v>
      </c>
      <c r="G774" s="3">
        <v>45130</v>
      </c>
      <c r="H774" s="4" t="s">
        <v>806</v>
      </c>
      <c r="I774" s="4" t="s">
        <v>4</v>
      </c>
      <c r="J774" s="4" t="str">
        <f>IF(K774&lt;30, "Young Adult","Adult")</f>
        <v>Young Adult</v>
      </c>
      <c r="K774" s="4">
        <v>25</v>
      </c>
      <c r="L774" s="4" t="s">
        <v>8</v>
      </c>
      <c r="M774" s="4">
        <v>4</v>
      </c>
      <c r="N774" s="5">
        <v>500</v>
      </c>
      <c r="O774">
        <f>(M774*N774)</f>
        <v>2000</v>
      </c>
      <c r="P774">
        <f>O774*$S$3</f>
        <v>30</v>
      </c>
      <c r="Q774">
        <f>O774*$S$4</f>
        <v>40</v>
      </c>
    </row>
    <row r="775" spans="1:17">
      <c r="A775" s="2">
        <v>774</v>
      </c>
      <c r="B775" s="4">
        <f>DAY(G775)</f>
        <v>12</v>
      </c>
      <c r="C775">
        <f>MONTH(G775)</f>
        <v>4</v>
      </c>
      <c r="D775">
        <f>YEAR(G775)</f>
        <v>2023</v>
      </c>
      <c r="E775" t="str">
        <f>TEXT(G775,"DDDD")</f>
        <v>Wednesday</v>
      </c>
      <c r="F775" t="str">
        <f>TEXT(G775,"MMMM")</f>
        <v>April</v>
      </c>
      <c r="G775" s="3">
        <v>45028</v>
      </c>
      <c r="H775" s="4" t="s">
        <v>807</v>
      </c>
      <c r="I775" s="4" t="s">
        <v>3</v>
      </c>
      <c r="J775" s="4" t="str">
        <f>IF(K775&lt;30, "Young Adult","Adult")</f>
        <v>Adult</v>
      </c>
      <c r="K775" s="4">
        <v>40</v>
      </c>
      <c r="L775" s="4" t="s">
        <v>7</v>
      </c>
      <c r="M775" s="4">
        <v>2</v>
      </c>
      <c r="N775" s="5">
        <v>25</v>
      </c>
      <c r="O775">
        <f>(M775*N775)</f>
        <v>50</v>
      </c>
      <c r="P775">
        <f>O775*$S$3</f>
        <v>0.75</v>
      </c>
      <c r="Q775">
        <f>O775*$S$4</f>
        <v>1</v>
      </c>
    </row>
    <row r="776" spans="1:17">
      <c r="A776" s="2">
        <v>775</v>
      </c>
      <c r="B776" s="4">
        <f>DAY(G776)</f>
        <v>8</v>
      </c>
      <c r="C776">
        <f>MONTH(G776)</f>
        <v>2</v>
      </c>
      <c r="D776">
        <f>YEAR(G776)</f>
        <v>2023</v>
      </c>
      <c r="E776" t="str">
        <f>TEXT(G776,"DDDD")</f>
        <v>Wednesday</v>
      </c>
      <c r="F776" t="str">
        <f>TEXT(G776,"MMMM")</f>
        <v>February</v>
      </c>
      <c r="G776" s="3">
        <v>44965</v>
      </c>
      <c r="H776" s="4" t="s">
        <v>808</v>
      </c>
      <c r="I776" s="4" t="s">
        <v>3</v>
      </c>
      <c r="J776" s="4" t="str">
        <f>IF(K776&lt;30, "Young Adult","Adult")</f>
        <v>Adult</v>
      </c>
      <c r="K776" s="4">
        <v>46</v>
      </c>
      <c r="L776" s="4" t="s">
        <v>8</v>
      </c>
      <c r="M776" s="4">
        <v>4</v>
      </c>
      <c r="N776" s="5">
        <v>25</v>
      </c>
      <c r="O776">
        <f>(M776*N776)</f>
        <v>100</v>
      </c>
      <c r="P776">
        <f>O776*$S$3</f>
        <v>1.5</v>
      </c>
      <c r="Q776">
        <f>O776*$S$4</f>
        <v>2</v>
      </c>
    </row>
    <row r="777" spans="1:17">
      <c r="A777" s="2">
        <v>776</v>
      </c>
      <c r="B777" s="4">
        <f>DAY(G777)</f>
        <v>31</v>
      </c>
      <c r="C777">
        <f>MONTH(G777)</f>
        <v>10</v>
      </c>
      <c r="D777">
        <f>YEAR(G777)</f>
        <v>2023</v>
      </c>
      <c r="E777" t="str">
        <f>TEXT(G777,"DDDD")</f>
        <v>Tuesday</v>
      </c>
      <c r="F777" t="str">
        <f>TEXT(G777,"MMMM")</f>
        <v>October</v>
      </c>
      <c r="G777" s="3">
        <v>45230</v>
      </c>
      <c r="H777" s="4" t="s">
        <v>809</v>
      </c>
      <c r="I777" s="4" t="s">
        <v>4</v>
      </c>
      <c r="J777" s="4" t="str">
        <f>IF(K777&lt;30, "Young Adult","Adult")</f>
        <v>Adult</v>
      </c>
      <c r="K777" s="4">
        <v>35</v>
      </c>
      <c r="L777" s="4" t="s">
        <v>7</v>
      </c>
      <c r="M777" s="4">
        <v>3</v>
      </c>
      <c r="N777" s="5">
        <v>30</v>
      </c>
      <c r="O777">
        <f>(M777*N777)</f>
        <v>90</v>
      </c>
      <c r="P777">
        <f>O777*$S$3</f>
        <v>1.3499999999999999</v>
      </c>
      <c r="Q777">
        <f>O777*$S$4</f>
        <v>1.8</v>
      </c>
    </row>
    <row r="778" spans="1:17">
      <c r="A778" s="2">
        <v>777</v>
      </c>
      <c r="B778" s="4">
        <f>DAY(G778)</f>
        <v>20</v>
      </c>
      <c r="C778">
        <f>MONTH(G778)</f>
        <v>12</v>
      </c>
      <c r="D778">
        <f>YEAR(G778)</f>
        <v>2023</v>
      </c>
      <c r="E778" t="str">
        <f>TEXT(G778,"DDDD")</f>
        <v>Wednesday</v>
      </c>
      <c r="F778" t="str">
        <f>TEXT(G778,"MMMM")</f>
        <v>December</v>
      </c>
      <c r="G778" s="3">
        <v>45280</v>
      </c>
      <c r="H778" s="4" t="s">
        <v>810</v>
      </c>
      <c r="I778" s="4" t="s">
        <v>4</v>
      </c>
      <c r="J778" s="4" t="str">
        <f>IF(K778&lt;30, "Young Adult","Adult")</f>
        <v>Adult</v>
      </c>
      <c r="K778" s="4">
        <v>48</v>
      </c>
      <c r="L778" s="4" t="s">
        <v>8</v>
      </c>
      <c r="M778" s="4">
        <v>3</v>
      </c>
      <c r="N778" s="5">
        <v>50</v>
      </c>
      <c r="O778">
        <f>(M778*N778)</f>
        <v>150</v>
      </c>
      <c r="P778">
        <f>O778*$S$3</f>
        <v>2.25</v>
      </c>
      <c r="Q778">
        <f>O778*$S$4</f>
        <v>3</v>
      </c>
    </row>
    <row r="779" spans="1:17">
      <c r="A779" s="2">
        <v>778</v>
      </c>
      <c r="B779" s="4">
        <f>DAY(G779)</f>
        <v>18</v>
      </c>
      <c r="C779">
        <f>MONTH(G779)</f>
        <v>11</v>
      </c>
      <c r="D779">
        <f>YEAR(G779)</f>
        <v>2023</v>
      </c>
      <c r="E779" t="str">
        <f>TEXT(G779,"DDDD")</f>
        <v>Saturday</v>
      </c>
      <c r="F779" t="str">
        <f>TEXT(G779,"MMMM")</f>
        <v>November</v>
      </c>
      <c r="G779" s="3">
        <v>45248</v>
      </c>
      <c r="H779" s="4" t="s">
        <v>811</v>
      </c>
      <c r="I779" s="4" t="s">
        <v>3</v>
      </c>
      <c r="J779" s="4" t="str">
        <f>IF(K779&lt;30, "Young Adult","Adult")</f>
        <v>Adult</v>
      </c>
      <c r="K779" s="4">
        <v>47</v>
      </c>
      <c r="L779" s="4" t="s">
        <v>6</v>
      </c>
      <c r="M779" s="4">
        <v>4</v>
      </c>
      <c r="N779" s="5">
        <v>25</v>
      </c>
      <c r="O779">
        <f>(M779*N779)</f>
        <v>100</v>
      </c>
      <c r="P779">
        <f>O779*$S$3</f>
        <v>1.5</v>
      </c>
      <c r="Q779">
        <f>O779*$S$4</f>
        <v>2</v>
      </c>
    </row>
    <row r="780" spans="1:17">
      <c r="A780" s="2">
        <v>779</v>
      </c>
      <c r="B780" s="4">
        <f>DAY(G780)</f>
        <v>5</v>
      </c>
      <c r="C780">
        <f>MONTH(G780)</f>
        <v>5</v>
      </c>
      <c r="D780">
        <f>YEAR(G780)</f>
        <v>2023</v>
      </c>
      <c r="E780" t="str">
        <f>TEXT(G780,"DDDD")</f>
        <v>Friday</v>
      </c>
      <c r="F780" t="str">
        <f>TEXT(G780,"MMMM")</f>
        <v>May</v>
      </c>
      <c r="G780" s="3">
        <v>45051</v>
      </c>
      <c r="H780" s="4" t="s">
        <v>812</v>
      </c>
      <c r="I780" s="4" t="s">
        <v>3</v>
      </c>
      <c r="J780" s="4" t="str">
        <f>IF(K780&lt;30, "Young Adult","Adult")</f>
        <v>Adult</v>
      </c>
      <c r="K780" s="4">
        <v>56</v>
      </c>
      <c r="L780" s="4" t="s">
        <v>8</v>
      </c>
      <c r="M780" s="4">
        <v>2</v>
      </c>
      <c r="N780" s="5">
        <v>500</v>
      </c>
      <c r="O780">
        <f>(M780*N780)</f>
        <v>1000</v>
      </c>
      <c r="P780">
        <f>O780*$S$3</f>
        <v>15</v>
      </c>
      <c r="Q780">
        <f>O780*$S$4</f>
        <v>20</v>
      </c>
    </row>
    <row r="781" spans="1:17">
      <c r="A781" s="2">
        <v>780</v>
      </c>
      <c r="B781" s="4">
        <f>DAY(G781)</f>
        <v>22</v>
      </c>
      <c r="C781">
        <f>MONTH(G781)</f>
        <v>2</v>
      </c>
      <c r="D781">
        <f>YEAR(G781)</f>
        <v>2023</v>
      </c>
      <c r="E781" t="str">
        <f>TEXT(G781,"DDDD")</f>
        <v>Wednesday</v>
      </c>
      <c r="F781" t="str">
        <f>TEXT(G781,"MMMM")</f>
        <v>February</v>
      </c>
      <c r="G781" s="3">
        <v>44979</v>
      </c>
      <c r="H781" s="4" t="s">
        <v>813</v>
      </c>
      <c r="I781" s="4" t="s">
        <v>4</v>
      </c>
      <c r="J781" s="4" t="str">
        <f>IF(K781&lt;30, "Young Adult","Adult")</f>
        <v>Adult</v>
      </c>
      <c r="K781" s="4">
        <v>52</v>
      </c>
      <c r="L781" s="4" t="s">
        <v>8</v>
      </c>
      <c r="M781" s="4">
        <v>2</v>
      </c>
      <c r="N781" s="5">
        <v>25</v>
      </c>
      <c r="O781">
        <f>(M781*N781)</f>
        <v>50</v>
      </c>
      <c r="P781">
        <f>O781*$S$3</f>
        <v>0.75</v>
      </c>
      <c r="Q781">
        <f>O781*$S$4</f>
        <v>1</v>
      </c>
    </row>
    <row r="782" spans="1:17">
      <c r="A782" s="2">
        <v>781</v>
      </c>
      <c r="B782" s="4">
        <f>DAY(G782)</f>
        <v>23</v>
      </c>
      <c r="C782">
        <f>MONTH(G782)</f>
        <v>12</v>
      </c>
      <c r="D782">
        <f>YEAR(G782)</f>
        <v>2023</v>
      </c>
      <c r="E782" t="str">
        <f>TEXT(G782,"DDDD")</f>
        <v>Saturday</v>
      </c>
      <c r="F782" t="str">
        <f>TEXT(G782,"MMMM")</f>
        <v>December</v>
      </c>
      <c r="G782" s="3">
        <v>45283</v>
      </c>
      <c r="H782" s="4" t="s">
        <v>814</v>
      </c>
      <c r="I782" s="4" t="s">
        <v>4</v>
      </c>
      <c r="J782" s="4" t="str">
        <f>IF(K782&lt;30, "Young Adult","Adult")</f>
        <v>Adult</v>
      </c>
      <c r="K782" s="4">
        <v>35</v>
      </c>
      <c r="L782" s="4" t="s">
        <v>6</v>
      </c>
      <c r="M782" s="4">
        <v>1</v>
      </c>
      <c r="N782" s="5">
        <v>500</v>
      </c>
      <c r="O782">
        <f>(M782*N782)</f>
        <v>500</v>
      </c>
      <c r="P782">
        <f>O782*$S$3</f>
        <v>7.5</v>
      </c>
      <c r="Q782">
        <f>O782*$S$4</f>
        <v>10</v>
      </c>
    </row>
    <row r="783" spans="1:17">
      <c r="A783" s="2">
        <v>782</v>
      </c>
      <c r="B783" s="4">
        <f>DAY(G783)</f>
        <v>4</v>
      </c>
      <c r="C783">
        <f>MONTH(G783)</f>
        <v>6</v>
      </c>
      <c r="D783">
        <f>YEAR(G783)</f>
        <v>2023</v>
      </c>
      <c r="E783" t="str">
        <f>TEXT(G783,"DDDD")</f>
        <v>Sunday</v>
      </c>
      <c r="F783" t="str">
        <f>TEXT(G783,"MMMM")</f>
        <v>June</v>
      </c>
      <c r="G783" s="3">
        <v>45081</v>
      </c>
      <c r="H783" s="4" t="s">
        <v>815</v>
      </c>
      <c r="I783" s="4" t="s">
        <v>4</v>
      </c>
      <c r="J783" s="4" t="str">
        <f>IF(K783&lt;30, "Young Adult","Adult")</f>
        <v>Adult</v>
      </c>
      <c r="K783" s="4">
        <v>59</v>
      </c>
      <c r="L783" s="4" t="s">
        <v>7</v>
      </c>
      <c r="M783" s="4">
        <v>3</v>
      </c>
      <c r="N783" s="5">
        <v>300</v>
      </c>
      <c r="O783">
        <f>(M783*N783)</f>
        <v>900</v>
      </c>
      <c r="P783">
        <f>O783*$S$3</f>
        <v>13.5</v>
      </c>
      <c r="Q783">
        <f>O783*$S$4</f>
        <v>18</v>
      </c>
    </row>
    <row r="784" spans="1:17">
      <c r="A784" s="2">
        <v>783</v>
      </c>
      <c r="B784" s="4">
        <f>DAY(G784)</f>
        <v>17</v>
      </c>
      <c r="C784">
        <f>MONTH(G784)</f>
        <v>12</v>
      </c>
      <c r="D784">
        <f>YEAR(G784)</f>
        <v>2023</v>
      </c>
      <c r="E784" t="str">
        <f>TEXT(G784,"DDDD")</f>
        <v>Sunday</v>
      </c>
      <c r="F784" t="str">
        <f>TEXT(G784,"MMMM")</f>
        <v>December</v>
      </c>
      <c r="G784" s="3">
        <v>45277</v>
      </c>
      <c r="H784" s="4" t="s">
        <v>816</v>
      </c>
      <c r="I784" s="4" t="s">
        <v>3</v>
      </c>
      <c r="J784" s="4" t="str">
        <f>IF(K784&lt;30, "Young Adult","Adult")</f>
        <v>Adult</v>
      </c>
      <c r="K784" s="4">
        <v>56</v>
      </c>
      <c r="L784" s="4" t="s">
        <v>7</v>
      </c>
      <c r="M784" s="4">
        <v>1</v>
      </c>
      <c r="N784" s="5">
        <v>300</v>
      </c>
      <c r="O784">
        <f>(M784*N784)</f>
        <v>300</v>
      </c>
      <c r="P784">
        <f>O784*$S$3</f>
        <v>4.5</v>
      </c>
      <c r="Q784">
        <f>O784*$S$4</f>
        <v>6</v>
      </c>
    </row>
    <row r="785" spans="1:17">
      <c r="A785" s="2">
        <v>784</v>
      </c>
      <c r="B785" s="4">
        <f>DAY(G785)</f>
        <v>4</v>
      </c>
      <c r="C785">
        <f>MONTH(G785)</f>
        <v>11</v>
      </c>
      <c r="D785">
        <f>YEAR(G785)</f>
        <v>2023</v>
      </c>
      <c r="E785" t="str">
        <f>TEXT(G785,"DDDD")</f>
        <v>Saturday</v>
      </c>
      <c r="F785" t="str">
        <f>TEXT(G785,"MMMM")</f>
        <v>November</v>
      </c>
      <c r="G785" s="3">
        <v>45234</v>
      </c>
      <c r="H785" s="4" t="s">
        <v>817</v>
      </c>
      <c r="I785" s="4" t="s">
        <v>3</v>
      </c>
      <c r="J785" s="4" t="str">
        <f>IF(K785&lt;30, "Young Adult","Adult")</f>
        <v>Adult</v>
      </c>
      <c r="K785" s="4">
        <v>34</v>
      </c>
      <c r="L785" s="4" t="s">
        <v>8</v>
      </c>
      <c r="M785" s="4">
        <v>1</v>
      </c>
      <c r="N785" s="5">
        <v>500</v>
      </c>
      <c r="O785">
        <f>(M785*N785)</f>
        <v>500</v>
      </c>
      <c r="P785">
        <f>O785*$S$3</f>
        <v>7.5</v>
      </c>
      <c r="Q785">
        <f>O785*$S$4</f>
        <v>10</v>
      </c>
    </row>
    <row r="786" spans="1:17">
      <c r="A786" s="2">
        <v>785</v>
      </c>
      <c r="B786" s="4">
        <f>DAY(G786)</f>
        <v>3</v>
      </c>
      <c r="C786">
        <f>MONTH(G786)</f>
        <v>3</v>
      </c>
      <c r="D786">
        <f>YEAR(G786)</f>
        <v>2023</v>
      </c>
      <c r="E786" t="str">
        <f>TEXT(G786,"DDDD")</f>
        <v>Friday</v>
      </c>
      <c r="F786" t="str">
        <f>TEXT(G786,"MMMM")</f>
        <v>March</v>
      </c>
      <c r="G786" s="3">
        <v>44988</v>
      </c>
      <c r="H786" s="4" t="s">
        <v>818</v>
      </c>
      <c r="I786" s="4" t="s">
        <v>3</v>
      </c>
      <c r="J786" s="4" t="str">
        <f>IF(K786&lt;30, "Young Adult","Adult")</f>
        <v>Adult</v>
      </c>
      <c r="K786" s="4">
        <v>31</v>
      </c>
      <c r="L786" s="4" t="s">
        <v>6</v>
      </c>
      <c r="M786" s="4">
        <v>4</v>
      </c>
      <c r="N786" s="5">
        <v>50</v>
      </c>
      <c r="O786">
        <f>(M786*N786)</f>
        <v>200</v>
      </c>
      <c r="P786">
        <f>O786*$S$3</f>
        <v>3</v>
      </c>
      <c r="Q786">
        <f>O786*$S$4</f>
        <v>4</v>
      </c>
    </row>
    <row r="787" spans="1:17">
      <c r="A787" s="2">
        <v>786</v>
      </c>
      <c r="B787" s="4">
        <f>DAY(G787)</f>
        <v>17</v>
      </c>
      <c r="C787">
        <f>MONTH(G787)</f>
        <v>10</v>
      </c>
      <c r="D787">
        <f>YEAR(G787)</f>
        <v>2023</v>
      </c>
      <c r="E787" t="str">
        <f>TEXT(G787,"DDDD")</f>
        <v>Tuesday</v>
      </c>
      <c r="F787" t="str">
        <f>TEXT(G787,"MMMM")</f>
        <v>October</v>
      </c>
      <c r="G787" s="3">
        <v>45216</v>
      </c>
      <c r="H787" s="4" t="s">
        <v>819</v>
      </c>
      <c r="I787" s="4" t="s">
        <v>4</v>
      </c>
      <c r="J787" s="4" t="str">
        <f>IF(K787&lt;30, "Young Adult","Adult")</f>
        <v>Adult</v>
      </c>
      <c r="K787" s="4">
        <v>48</v>
      </c>
      <c r="L787" s="4" t="s">
        <v>7</v>
      </c>
      <c r="M787" s="4">
        <v>4</v>
      </c>
      <c r="N787" s="5">
        <v>25</v>
      </c>
      <c r="O787">
        <f>(M787*N787)</f>
        <v>100</v>
      </c>
      <c r="P787">
        <f>O787*$S$3</f>
        <v>1.5</v>
      </c>
      <c r="Q787">
        <f>O787*$S$4</f>
        <v>2</v>
      </c>
    </row>
    <row r="788" spans="1:17">
      <c r="A788" s="2">
        <v>787</v>
      </c>
      <c r="B788" s="4">
        <f>DAY(G788)</f>
        <v>22</v>
      </c>
      <c r="C788">
        <f>MONTH(G788)</f>
        <v>1</v>
      </c>
      <c r="D788">
        <f>YEAR(G788)</f>
        <v>2023</v>
      </c>
      <c r="E788" t="str">
        <f>TEXT(G788,"DDDD")</f>
        <v>Sunday</v>
      </c>
      <c r="F788" t="str">
        <f>TEXT(G788,"MMMM")</f>
        <v>January</v>
      </c>
      <c r="G788" s="3">
        <v>44948</v>
      </c>
      <c r="H788" s="4" t="s">
        <v>820</v>
      </c>
      <c r="I788" s="4" t="s">
        <v>4</v>
      </c>
      <c r="J788" s="4" t="str">
        <f>IF(K788&lt;30, "Young Adult","Adult")</f>
        <v>Adult</v>
      </c>
      <c r="K788" s="4">
        <v>41</v>
      </c>
      <c r="L788" s="4" t="s">
        <v>8</v>
      </c>
      <c r="M788" s="4">
        <v>1</v>
      </c>
      <c r="N788" s="5">
        <v>25</v>
      </c>
      <c r="O788">
        <f>(M788*N788)</f>
        <v>25</v>
      </c>
      <c r="P788">
        <f>O788*$S$3</f>
        <v>0.375</v>
      </c>
      <c r="Q788">
        <f>O788*$S$4</f>
        <v>0.5</v>
      </c>
    </row>
    <row r="789" spans="1:17">
      <c r="A789" s="2">
        <v>788</v>
      </c>
      <c r="B789" s="4">
        <f>DAY(G789)</f>
        <v>27</v>
      </c>
      <c r="C789">
        <f>MONTH(G789)</f>
        <v>6</v>
      </c>
      <c r="D789">
        <f>YEAR(G789)</f>
        <v>2023</v>
      </c>
      <c r="E789" t="str">
        <f>TEXT(G789,"DDDD")</f>
        <v>Tuesday</v>
      </c>
      <c r="F789" t="str">
        <f>TEXT(G789,"MMMM")</f>
        <v>June</v>
      </c>
      <c r="G789" s="3">
        <v>45104</v>
      </c>
      <c r="H789" s="4" t="s">
        <v>821</v>
      </c>
      <c r="I789" s="4" t="s">
        <v>3</v>
      </c>
      <c r="J789" s="4" t="str">
        <f>IF(K789&lt;30, "Young Adult","Adult")</f>
        <v>Adult</v>
      </c>
      <c r="K789" s="4">
        <v>52</v>
      </c>
      <c r="L789" s="4" t="s">
        <v>6</v>
      </c>
      <c r="M789" s="4">
        <v>3</v>
      </c>
      <c r="N789" s="5">
        <v>300</v>
      </c>
      <c r="O789">
        <f>(M789*N789)</f>
        <v>900</v>
      </c>
      <c r="P789">
        <f>O789*$S$3</f>
        <v>13.5</v>
      </c>
      <c r="Q789">
        <f>O789*$S$4</f>
        <v>18</v>
      </c>
    </row>
    <row r="790" spans="1:17">
      <c r="A790" s="2">
        <v>789</v>
      </c>
      <c r="B790" s="4">
        <f>DAY(G790)</f>
        <v>30</v>
      </c>
      <c r="C790">
        <f>MONTH(G790)</f>
        <v>9</v>
      </c>
      <c r="D790">
        <f>YEAR(G790)</f>
        <v>2023</v>
      </c>
      <c r="E790" t="str">
        <f>TEXT(G790,"DDDD")</f>
        <v>Saturday</v>
      </c>
      <c r="F790" t="str">
        <f>TEXT(G790,"MMMM")</f>
        <v>September</v>
      </c>
      <c r="G790" s="3">
        <v>45199</v>
      </c>
      <c r="H790" s="4" t="s">
        <v>822</v>
      </c>
      <c r="I790" s="4" t="s">
        <v>3</v>
      </c>
      <c r="J790" s="4" t="str">
        <f>IF(K790&lt;30, "Young Adult","Adult")</f>
        <v>Adult</v>
      </c>
      <c r="K790" s="4">
        <v>61</v>
      </c>
      <c r="L790" s="4" t="s">
        <v>7</v>
      </c>
      <c r="M790" s="4">
        <v>4</v>
      </c>
      <c r="N790" s="5">
        <v>500</v>
      </c>
      <c r="O790">
        <f>(M790*N790)</f>
        <v>2000</v>
      </c>
      <c r="P790">
        <f>O790*$S$3</f>
        <v>30</v>
      </c>
      <c r="Q790">
        <f>O790*$S$4</f>
        <v>40</v>
      </c>
    </row>
    <row r="791" spans="1:17">
      <c r="A791" s="2">
        <v>790</v>
      </c>
      <c r="B791" s="4">
        <f>DAY(G791)</f>
        <v>8</v>
      </c>
      <c r="C791">
        <f>MONTH(G791)</f>
        <v>8</v>
      </c>
      <c r="D791">
        <f>YEAR(G791)</f>
        <v>2023</v>
      </c>
      <c r="E791" t="str">
        <f>TEXT(G791,"DDDD")</f>
        <v>Tuesday</v>
      </c>
      <c r="F791" t="str">
        <f>TEXT(G791,"MMMM")</f>
        <v>August</v>
      </c>
      <c r="G791" s="3">
        <v>45146</v>
      </c>
      <c r="H791" s="4" t="s">
        <v>823</v>
      </c>
      <c r="I791" s="4" t="s">
        <v>4</v>
      </c>
      <c r="J791" s="4" t="str">
        <f>IF(K791&lt;30, "Young Adult","Adult")</f>
        <v>Adult</v>
      </c>
      <c r="K791" s="4">
        <v>62</v>
      </c>
      <c r="L791" s="4" t="s">
        <v>7</v>
      </c>
      <c r="M791" s="4">
        <v>1</v>
      </c>
      <c r="N791" s="5">
        <v>25</v>
      </c>
      <c r="O791">
        <f>(M791*N791)</f>
        <v>25</v>
      </c>
      <c r="P791">
        <f>O791*$S$3</f>
        <v>0.375</v>
      </c>
      <c r="Q791">
        <f>O791*$S$4</f>
        <v>0.5</v>
      </c>
    </row>
    <row r="792" spans="1:17">
      <c r="A792" s="2">
        <v>791</v>
      </c>
      <c r="B792" s="4">
        <f>DAY(G792)</f>
        <v>5</v>
      </c>
      <c r="C792">
        <f>MONTH(G792)</f>
        <v>12</v>
      </c>
      <c r="D792">
        <f>YEAR(G792)</f>
        <v>2023</v>
      </c>
      <c r="E792" t="str">
        <f>TEXT(G792,"DDDD")</f>
        <v>Tuesday</v>
      </c>
      <c r="F792" t="str">
        <f>TEXT(G792,"MMMM")</f>
        <v>December</v>
      </c>
      <c r="G792" s="3">
        <v>45265</v>
      </c>
      <c r="H792" s="4" t="s">
        <v>824</v>
      </c>
      <c r="I792" s="4" t="s">
        <v>3</v>
      </c>
      <c r="J792" s="4" t="str">
        <f>IF(K792&lt;30, "Young Adult","Adult")</f>
        <v>Adult</v>
      </c>
      <c r="K792" s="4">
        <v>51</v>
      </c>
      <c r="L792" s="4" t="s">
        <v>6</v>
      </c>
      <c r="M792" s="4">
        <v>1</v>
      </c>
      <c r="N792" s="5">
        <v>25</v>
      </c>
      <c r="O792">
        <f>(M792*N792)</f>
        <v>25</v>
      </c>
      <c r="P792">
        <f>O792*$S$3</f>
        <v>0.375</v>
      </c>
      <c r="Q792">
        <f>O792*$S$4</f>
        <v>0.5</v>
      </c>
    </row>
    <row r="793" spans="1:17">
      <c r="A793" s="2">
        <v>792</v>
      </c>
      <c r="B793" s="4">
        <f>DAY(G793)</f>
        <v>9</v>
      </c>
      <c r="C793">
        <f>MONTH(G793)</f>
        <v>7</v>
      </c>
      <c r="D793">
        <f>YEAR(G793)</f>
        <v>2023</v>
      </c>
      <c r="E793" t="str">
        <f>TEXT(G793,"DDDD")</f>
        <v>Sunday</v>
      </c>
      <c r="F793" t="str">
        <f>TEXT(G793,"MMMM")</f>
        <v>July</v>
      </c>
      <c r="G793" s="3">
        <v>45116</v>
      </c>
      <c r="H793" s="4" t="s">
        <v>825</v>
      </c>
      <c r="I793" s="4" t="s">
        <v>3</v>
      </c>
      <c r="J793" s="4" t="str">
        <f>IF(K793&lt;30, "Young Adult","Adult")</f>
        <v>Young Adult</v>
      </c>
      <c r="K793" s="4">
        <v>20</v>
      </c>
      <c r="L793" s="4" t="s">
        <v>6</v>
      </c>
      <c r="M793" s="4">
        <v>1</v>
      </c>
      <c r="N793" s="5">
        <v>50</v>
      </c>
      <c r="O793">
        <f>(M793*N793)</f>
        <v>50</v>
      </c>
      <c r="P793">
        <f>O793*$S$3</f>
        <v>0.75</v>
      </c>
      <c r="Q793">
        <f>O793*$S$4</f>
        <v>1</v>
      </c>
    </row>
    <row r="794" spans="1:17">
      <c r="A794" s="2">
        <v>793</v>
      </c>
      <c r="B794" s="4">
        <f>DAY(G794)</f>
        <v>5</v>
      </c>
      <c r="C794">
        <f>MONTH(G794)</f>
        <v>2</v>
      </c>
      <c r="D794">
        <f>YEAR(G794)</f>
        <v>2023</v>
      </c>
      <c r="E794" t="str">
        <f>TEXT(G794,"DDDD")</f>
        <v>Sunday</v>
      </c>
      <c r="F794" t="str">
        <f>TEXT(G794,"MMMM")</f>
        <v>February</v>
      </c>
      <c r="G794" s="3">
        <v>44962</v>
      </c>
      <c r="H794" s="4" t="s">
        <v>826</v>
      </c>
      <c r="I794" s="4" t="s">
        <v>4</v>
      </c>
      <c r="J794" s="4" t="str">
        <f>IF(K794&lt;30, "Young Adult","Adult")</f>
        <v>Adult</v>
      </c>
      <c r="K794" s="4">
        <v>54</v>
      </c>
      <c r="L794" s="4" t="s">
        <v>6</v>
      </c>
      <c r="M794" s="4">
        <v>1</v>
      </c>
      <c r="N794" s="5">
        <v>30</v>
      </c>
      <c r="O794">
        <f>(M794*N794)</f>
        <v>30</v>
      </c>
      <c r="P794">
        <f>O794*$S$3</f>
        <v>0.44999999999999996</v>
      </c>
      <c r="Q794">
        <f>O794*$S$4</f>
        <v>0.6</v>
      </c>
    </row>
    <row r="795" spans="1:17">
      <c r="A795" s="2">
        <v>794</v>
      </c>
      <c r="B795" s="4">
        <f>DAY(G795)</f>
        <v>17</v>
      </c>
      <c r="C795">
        <f>MONTH(G795)</f>
        <v>9</v>
      </c>
      <c r="D795">
        <f>YEAR(G795)</f>
        <v>2023</v>
      </c>
      <c r="E795" t="str">
        <f>TEXT(G795,"DDDD")</f>
        <v>Sunday</v>
      </c>
      <c r="F795" t="str">
        <f>TEXT(G795,"MMMM")</f>
        <v>September</v>
      </c>
      <c r="G795" s="3">
        <v>45186</v>
      </c>
      <c r="H795" s="4" t="s">
        <v>827</v>
      </c>
      <c r="I795" s="4" t="s">
        <v>3</v>
      </c>
      <c r="J795" s="4" t="str">
        <f>IF(K795&lt;30, "Young Adult","Adult")</f>
        <v>Adult</v>
      </c>
      <c r="K795" s="4">
        <v>60</v>
      </c>
      <c r="L795" s="4" t="s">
        <v>6</v>
      </c>
      <c r="M795" s="4">
        <v>1</v>
      </c>
      <c r="N795" s="5">
        <v>300</v>
      </c>
      <c r="O795">
        <f>(M795*N795)</f>
        <v>300</v>
      </c>
      <c r="P795">
        <f>O795*$S$3</f>
        <v>4.5</v>
      </c>
      <c r="Q795">
        <f>O795*$S$4</f>
        <v>6</v>
      </c>
    </row>
    <row r="796" spans="1:17">
      <c r="A796" s="2">
        <v>795</v>
      </c>
      <c r="B796" s="4">
        <f>DAY(G796)</f>
        <v>28</v>
      </c>
      <c r="C796">
        <f>MONTH(G796)</f>
        <v>11</v>
      </c>
      <c r="D796">
        <f>YEAR(G796)</f>
        <v>2023</v>
      </c>
      <c r="E796" t="str">
        <f>TEXT(G796,"DDDD")</f>
        <v>Tuesday</v>
      </c>
      <c r="F796" t="str">
        <f>TEXT(G796,"MMMM")</f>
        <v>November</v>
      </c>
      <c r="G796" s="3">
        <v>45258</v>
      </c>
      <c r="H796" s="4" t="s">
        <v>828</v>
      </c>
      <c r="I796" s="4" t="s">
        <v>4</v>
      </c>
      <c r="J796" s="4" t="str">
        <f>IF(K796&lt;30, "Young Adult","Adult")</f>
        <v>Adult</v>
      </c>
      <c r="K796" s="4">
        <v>57</v>
      </c>
      <c r="L796" s="4" t="s">
        <v>8</v>
      </c>
      <c r="M796" s="4">
        <v>1</v>
      </c>
      <c r="N796" s="5">
        <v>300</v>
      </c>
      <c r="O796">
        <f>(M796*N796)</f>
        <v>300</v>
      </c>
      <c r="P796">
        <f>O796*$S$3</f>
        <v>4.5</v>
      </c>
      <c r="Q796">
        <f>O796*$S$4</f>
        <v>6</v>
      </c>
    </row>
    <row r="797" spans="1:17">
      <c r="A797" s="2">
        <v>796</v>
      </c>
      <c r="B797" s="4">
        <f>DAY(G797)</f>
        <v>24</v>
      </c>
      <c r="C797">
        <f>MONTH(G797)</f>
        <v>6</v>
      </c>
      <c r="D797">
        <f>YEAR(G797)</f>
        <v>2023</v>
      </c>
      <c r="E797" t="str">
        <f>TEXT(G797,"DDDD")</f>
        <v>Saturday</v>
      </c>
      <c r="F797" t="str">
        <f>TEXT(G797,"MMMM")</f>
        <v>June</v>
      </c>
      <c r="G797" s="3">
        <v>45101</v>
      </c>
      <c r="H797" s="4" t="s">
        <v>829</v>
      </c>
      <c r="I797" s="4" t="s">
        <v>4</v>
      </c>
      <c r="J797" s="4" t="str">
        <f>IF(K797&lt;30, "Young Adult","Adult")</f>
        <v>Adult</v>
      </c>
      <c r="K797" s="4">
        <v>43</v>
      </c>
      <c r="L797" s="4" t="s">
        <v>6</v>
      </c>
      <c r="M797" s="4">
        <v>4</v>
      </c>
      <c r="N797" s="5">
        <v>30</v>
      </c>
      <c r="O797">
        <f>(M797*N797)</f>
        <v>120</v>
      </c>
      <c r="P797">
        <f>O797*$S$3</f>
        <v>1.7999999999999998</v>
      </c>
      <c r="Q797">
        <f>O797*$S$4</f>
        <v>2.4</v>
      </c>
    </row>
    <row r="798" spans="1:17">
      <c r="A798" s="2">
        <v>797</v>
      </c>
      <c r="B798" s="4">
        <f>DAY(G798)</f>
        <v>7</v>
      </c>
      <c r="C798">
        <f>MONTH(G798)</f>
        <v>1</v>
      </c>
      <c r="D798">
        <f>YEAR(G798)</f>
        <v>2023</v>
      </c>
      <c r="E798" t="str">
        <f>TEXT(G798,"DDDD")</f>
        <v>Saturday</v>
      </c>
      <c r="F798" t="str">
        <f>TEXT(G798,"MMMM")</f>
        <v>January</v>
      </c>
      <c r="G798" s="3">
        <v>44933</v>
      </c>
      <c r="H798" s="4" t="s">
        <v>830</v>
      </c>
      <c r="I798" s="4" t="s">
        <v>4</v>
      </c>
      <c r="J798" s="4" t="str">
        <f>IF(K798&lt;30, "Young Adult","Adult")</f>
        <v>Adult</v>
      </c>
      <c r="K798" s="4">
        <v>40</v>
      </c>
      <c r="L798" s="4" t="s">
        <v>7</v>
      </c>
      <c r="M798" s="4">
        <v>3</v>
      </c>
      <c r="N798" s="5">
        <v>25</v>
      </c>
      <c r="O798">
        <f>(M798*N798)</f>
        <v>75</v>
      </c>
      <c r="P798">
        <f>O798*$S$3</f>
        <v>1.125</v>
      </c>
      <c r="Q798">
        <f>O798*$S$4</f>
        <v>1.5</v>
      </c>
    </row>
    <row r="799" spans="1:17">
      <c r="A799" s="2">
        <v>798</v>
      </c>
      <c r="B799" s="4">
        <f>DAY(G799)</f>
        <v>4</v>
      </c>
      <c r="C799">
        <f>MONTH(G799)</f>
        <v>8</v>
      </c>
      <c r="D799">
        <f>YEAR(G799)</f>
        <v>2023</v>
      </c>
      <c r="E799" t="str">
        <f>TEXT(G799,"DDDD")</f>
        <v>Friday</v>
      </c>
      <c r="F799" t="str">
        <f>TEXT(G799,"MMMM")</f>
        <v>August</v>
      </c>
      <c r="G799" s="3">
        <v>45142</v>
      </c>
      <c r="H799" s="4" t="s">
        <v>831</v>
      </c>
      <c r="I799" s="4" t="s">
        <v>4</v>
      </c>
      <c r="J799" s="4" t="str">
        <f>IF(K799&lt;30, "Young Adult","Adult")</f>
        <v>Adult</v>
      </c>
      <c r="K799" s="4">
        <v>61</v>
      </c>
      <c r="L799" s="4" t="s">
        <v>7</v>
      </c>
      <c r="M799" s="4">
        <v>1</v>
      </c>
      <c r="N799" s="5">
        <v>50</v>
      </c>
      <c r="O799">
        <f>(M799*N799)</f>
        <v>50</v>
      </c>
      <c r="P799">
        <f>O799*$S$3</f>
        <v>0.75</v>
      </c>
      <c r="Q799">
        <f>O799*$S$4</f>
        <v>1</v>
      </c>
    </row>
    <row r="800" spans="1:17">
      <c r="A800" s="2">
        <v>799</v>
      </c>
      <c r="B800" s="4">
        <f>DAY(G800)</f>
        <v>8</v>
      </c>
      <c r="C800">
        <f>MONTH(G800)</f>
        <v>9</v>
      </c>
      <c r="D800">
        <f>YEAR(G800)</f>
        <v>2023</v>
      </c>
      <c r="E800" t="str">
        <f>TEXT(G800,"DDDD")</f>
        <v>Friday</v>
      </c>
      <c r="F800" t="str">
        <f>TEXT(G800,"MMMM")</f>
        <v>September</v>
      </c>
      <c r="G800" s="3">
        <v>45177</v>
      </c>
      <c r="H800" s="4" t="s">
        <v>832</v>
      </c>
      <c r="I800" s="4" t="s">
        <v>4</v>
      </c>
      <c r="J800" s="4" t="str">
        <f>IF(K800&lt;30, "Young Adult","Adult")</f>
        <v>Adult</v>
      </c>
      <c r="K800" s="4">
        <v>56</v>
      </c>
      <c r="L800" s="4" t="s">
        <v>8</v>
      </c>
      <c r="M800" s="4">
        <v>2</v>
      </c>
      <c r="N800" s="5">
        <v>50</v>
      </c>
      <c r="O800">
        <f>(M800*N800)</f>
        <v>100</v>
      </c>
      <c r="P800">
        <f>O800*$S$3</f>
        <v>1.5</v>
      </c>
      <c r="Q800">
        <f>O800*$S$4</f>
        <v>2</v>
      </c>
    </row>
    <row r="801" spans="1:17">
      <c r="A801" s="2">
        <v>800</v>
      </c>
      <c r="B801" s="4">
        <f>DAY(G801)</f>
        <v>24</v>
      </c>
      <c r="C801">
        <f>MONTH(G801)</f>
        <v>2</v>
      </c>
      <c r="D801">
        <f>YEAR(G801)</f>
        <v>2023</v>
      </c>
      <c r="E801" t="str">
        <f>TEXT(G801,"DDDD")</f>
        <v>Friday</v>
      </c>
      <c r="F801" t="str">
        <f>TEXT(G801,"MMMM")</f>
        <v>February</v>
      </c>
      <c r="G801" s="3">
        <v>44981</v>
      </c>
      <c r="H801" s="4" t="s">
        <v>833</v>
      </c>
      <c r="I801" s="4" t="s">
        <v>4</v>
      </c>
      <c r="J801" s="4" t="str">
        <f>IF(K801&lt;30, "Young Adult","Adult")</f>
        <v>Adult</v>
      </c>
      <c r="K801" s="4">
        <v>32</v>
      </c>
      <c r="L801" s="4" t="s">
        <v>7</v>
      </c>
      <c r="M801" s="4">
        <v>4</v>
      </c>
      <c r="N801" s="5">
        <v>300</v>
      </c>
      <c r="O801">
        <f>(M801*N801)</f>
        <v>1200</v>
      </c>
      <c r="P801">
        <f>O801*$S$3</f>
        <v>18</v>
      </c>
      <c r="Q801">
        <f>O801*$S$4</f>
        <v>24</v>
      </c>
    </row>
    <row r="802" spans="1:17">
      <c r="A802" s="2">
        <v>801</v>
      </c>
      <c r="B802" s="4">
        <f>DAY(G802)</f>
        <v>10</v>
      </c>
      <c r="C802">
        <f>MONTH(G802)</f>
        <v>8</v>
      </c>
      <c r="D802">
        <f>YEAR(G802)</f>
        <v>2023</v>
      </c>
      <c r="E802" t="str">
        <f>TEXT(G802,"DDDD")</f>
        <v>Thursday</v>
      </c>
      <c r="F802" t="str">
        <f>TEXT(G802,"MMMM")</f>
        <v>August</v>
      </c>
      <c r="G802" s="3">
        <v>45148</v>
      </c>
      <c r="H802" s="4" t="s">
        <v>834</v>
      </c>
      <c r="I802" s="4" t="s">
        <v>4</v>
      </c>
      <c r="J802" s="4" t="str">
        <f>IF(K802&lt;30, "Young Adult","Adult")</f>
        <v>Young Adult</v>
      </c>
      <c r="K802" s="4">
        <v>21</v>
      </c>
      <c r="L802" s="4" t="s">
        <v>7</v>
      </c>
      <c r="M802" s="4">
        <v>4</v>
      </c>
      <c r="N802" s="5">
        <v>50</v>
      </c>
      <c r="O802">
        <f>(M802*N802)</f>
        <v>200</v>
      </c>
      <c r="P802">
        <f>O802*$S$3</f>
        <v>3</v>
      </c>
      <c r="Q802">
        <f>O802*$S$4</f>
        <v>4</v>
      </c>
    </row>
    <row r="803" spans="1:17">
      <c r="A803" s="2">
        <v>802</v>
      </c>
      <c r="B803" s="4">
        <f>DAY(G803)</f>
        <v>5</v>
      </c>
      <c r="C803">
        <f>MONTH(G803)</f>
        <v>7</v>
      </c>
      <c r="D803">
        <f>YEAR(G803)</f>
        <v>2023</v>
      </c>
      <c r="E803" t="str">
        <f>TEXT(G803,"DDDD")</f>
        <v>Wednesday</v>
      </c>
      <c r="F803" t="str">
        <f>TEXT(G803,"MMMM")</f>
        <v>July</v>
      </c>
      <c r="G803" s="3">
        <v>45112</v>
      </c>
      <c r="H803" s="4" t="s">
        <v>835</v>
      </c>
      <c r="I803" s="4" t="s">
        <v>3</v>
      </c>
      <c r="J803" s="4" t="str">
        <f>IF(K803&lt;30, "Young Adult","Adult")</f>
        <v>Adult</v>
      </c>
      <c r="K803" s="4">
        <v>46</v>
      </c>
      <c r="L803" s="4" t="s">
        <v>6</v>
      </c>
      <c r="M803" s="4">
        <v>1</v>
      </c>
      <c r="N803" s="5">
        <v>30</v>
      </c>
      <c r="O803">
        <f>(M803*N803)</f>
        <v>30</v>
      </c>
      <c r="P803">
        <f>O803*$S$3</f>
        <v>0.44999999999999996</v>
      </c>
      <c r="Q803">
        <f>O803*$S$4</f>
        <v>0.6</v>
      </c>
    </row>
    <row r="804" spans="1:17">
      <c r="A804" s="2">
        <v>803</v>
      </c>
      <c r="B804" s="4">
        <f>DAY(G804)</f>
        <v>22</v>
      </c>
      <c r="C804">
        <f>MONTH(G804)</f>
        <v>11</v>
      </c>
      <c r="D804">
        <f>YEAR(G804)</f>
        <v>2023</v>
      </c>
      <c r="E804" t="str">
        <f>TEXT(G804,"DDDD")</f>
        <v>Wednesday</v>
      </c>
      <c r="F804" t="str">
        <f>TEXT(G804,"MMMM")</f>
        <v>November</v>
      </c>
      <c r="G804" s="3">
        <v>45252</v>
      </c>
      <c r="H804" s="4" t="s">
        <v>836</v>
      </c>
      <c r="I804" s="4" t="s">
        <v>4</v>
      </c>
      <c r="J804" s="4" t="str">
        <f>IF(K804&lt;30, "Young Adult","Adult")</f>
        <v>Adult</v>
      </c>
      <c r="K804" s="4">
        <v>39</v>
      </c>
      <c r="L804" s="4" t="s">
        <v>7</v>
      </c>
      <c r="M804" s="4">
        <v>4</v>
      </c>
      <c r="N804" s="5">
        <v>25</v>
      </c>
      <c r="O804">
        <f>(M804*N804)</f>
        <v>100</v>
      </c>
      <c r="P804">
        <f>O804*$S$3</f>
        <v>1.5</v>
      </c>
      <c r="Q804">
        <f>O804*$S$4</f>
        <v>2</v>
      </c>
    </row>
    <row r="805" spans="1:17">
      <c r="A805" s="2">
        <v>804</v>
      </c>
      <c r="B805" s="4">
        <f>DAY(G805)</f>
        <v>24</v>
      </c>
      <c r="C805">
        <f>MONTH(G805)</f>
        <v>8</v>
      </c>
      <c r="D805">
        <f>YEAR(G805)</f>
        <v>2023</v>
      </c>
      <c r="E805" t="str">
        <f>TEXT(G805,"DDDD")</f>
        <v>Thursday</v>
      </c>
      <c r="F805" t="str">
        <f>TEXT(G805,"MMMM")</f>
        <v>August</v>
      </c>
      <c r="G805" s="3">
        <v>45162</v>
      </c>
      <c r="H805" s="4" t="s">
        <v>837</v>
      </c>
      <c r="I805" s="4" t="s">
        <v>4</v>
      </c>
      <c r="J805" s="4" t="str">
        <f>IF(K805&lt;30, "Young Adult","Adult")</f>
        <v>Adult</v>
      </c>
      <c r="K805" s="4">
        <v>42</v>
      </c>
      <c r="L805" s="4" t="s">
        <v>8</v>
      </c>
      <c r="M805" s="4">
        <v>1</v>
      </c>
      <c r="N805" s="5">
        <v>30</v>
      </c>
      <c r="O805">
        <f>(M805*N805)</f>
        <v>30</v>
      </c>
      <c r="P805">
        <f>O805*$S$3</f>
        <v>0.44999999999999996</v>
      </c>
      <c r="Q805">
        <f>O805*$S$4</f>
        <v>0.6</v>
      </c>
    </row>
    <row r="806" spans="1:17">
      <c r="A806" s="2">
        <v>805</v>
      </c>
      <c r="B806" s="4">
        <f>DAY(G806)</f>
        <v>29</v>
      </c>
      <c r="C806">
        <f>MONTH(G806)</f>
        <v>12</v>
      </c>
      <c r="D806">
        <f>YEAR(G806)</f>
        <v>2023</v>
      </c>
      <c r="E806" t="str">
        <f>TEXT(G806,"DDDD")</f>
        <v>Friday</v>
      </c>
      <c r="F806" t="str">
        <f>TEXT(G806,"MMMM")</f>
        <v>December</v>
      </c>
      <c r="G806" s="3">
        <v>45289</v>
      </c>
      <c r="H806" s="4" t="s">
        <v>838</v>
      </c>
      <c r="I806" s="4" t="s">
        <v>3</v>
      </c>
      <c r="J806" s="4" t="str">
        <f>IF(K806&lt;30, "Young Adult","Adult")</f>
        <v>Adult</v>
      </c>
      <c r="K806" s="4">
        <v>30</v>
      </c>
      <c r="L806" s="4" t="s">
        <v>6</v>
      </c>
      <c r="M806" s="4">
        <v>3</v>
      </c>
      <c r="N806" s="5">
        <v>500</v>
      </c>
      <c r="O806">
        <f>(M806*N806)</f>
        <v>1500</v>
      </c>
      <c r="P806">
        <f>O806*$S$3</f>
        <v>22.5</v>
      </c>
      <c r="Q806">
        <f>O806*$S$4</f>
        <v>30</v>
      </c>
    </row>
    <row r="807" spans="1:17">
      <c r="A807" s="2">
        <v>806</v>
      </c>
      <c r="B807" s="4">
        <f>DAY(G807)</f>
        <v>20</v>
      </c>
      <c r="C807">
        <f>MONTH(G807)</f>
        <v>3</v>
      </c>
      <c r="D807">
        <f>YEAR(G807)</f>
        <v>2023</v>
      </c>
      <c r="E807" t="str">
        <f>TEXT(G807,"DDDD")</f>
        <v>Monday</v>
      </c>
      <c r="F807" t="str">
        <f>TEXT(G807,"MMMM")</f>
        <v>March</v>
      </c>
      <c r="G807" s="3">
        <v>45005</v>
      </c>
      <c r="H807" s="4" t="s">
        <v>839</v>
      </c>
      <c r="I807" s="4" t="s">
        <v>3</v>
      </c>
      <c r="J807" s="4" t="str">
        <f>IF(K807&lt;30, "Young Adult","Adult")</f>
        <v>Adult</v>
      </c>
      <c r="K807" s="4">
        <v>35</v>
      </c>
      <c r="L807" s="4" t="s">
        <v>6</v>
      </c>
      <c r="M807" s="4">
        <v>3</v>
      </c>
      <c r="N807" s="5">
        <v>300</v>
      </c>
      <c r="O807">
        <f>(M807*N807)</f>
        <v>900</v>
      </c>
      <c r="P807">
        <f>O807*$S$3</f>
        <v>13.5</v>
      </c>
      <c r="Q807">
        <f>O807*$S$4</f>
        <v>18</v>
      </c>
    </row>
    <row r="808" spans="1:17">
      <c r="A808" s="2">
        <v>807</v>
      </c>
      <c r="B808" s="4">
        <f>DAY(G808)</f>
        <v>11</v>
      </c>
      <c r="C808">
        <f>MONTH(G808)</f>
        <v>8</v>
      </c>
      <c r="D808">
        <f>YEAR(G808)</f>
        <v>2023</v>
      </c>
      <c r="E808" t="str">
        <f>TEXT(G808,"DDDD")</f>
        <v>Friday</v>
      </c>
      <c r="F808" t="str">
        <f>TEXT(G808,"MMMM")</f>
        <v>August</v>
      </c>
      <c r="G808" s="3">
        <v>45149</v>
      </c>
      <c r="H808" s="4" t="s">
        <v>840</v>
      </c>
      <c r="I808" s="4" t="s">
        <v>3</v>
      </c>
      <c r="J808" s="4" t="str">
        <f>IF(K808&lt;30, "Young Adult","Adult")</f>
        <v>Adult</v>
      </c>
      <c r="K808" s="4">
        <v>50</v>
      </c>
      <c r="L808" s="4" t="s">
        <v>8</v>
      </c>
      <c r="M808" s="4">
        <v>4</v>
      </c>
      <c r="N808" s="5">
        <v>50</v>
      </c>
      <c r="O808">
        <f>(M808*N808)</f>
        <v>200</v>
      </c>
      <c r="P808">
        <f>O808*$S$3</f>
        <v>3</v>
      </c>
      <c r="Q808">
        <f>O808*$S$4</f>
        <v>4</v>
      </c>
    </row>
    <row r="809" spans="1:17">
      <c r="A809" s="2">
        <v>808</v>
      </c>
      <c r="B809" s="4">
        <f>DAY(G809)</f>
        <v>1</v>
      </c>
      <c r="C809">
        <f>MONTH(G809)</f>
        <v>4</v>
      </c>
      <c r="D809">
        <f>YEAR(G809)</f>
        <v>2023</v>
      </c>
      <c r="E809" t="str">
        <f>TEXT(G809,"DDDD")</f>
        <v>Saturday</v>
      </c>
      <c r="F809" t="str">
        <f>TEXT(G809,"MMMM")</f>
        <v>April</v>
      </c>
      <c r="G809" s="3">
        <v>45017</v>
      </c>
      <c r="H809" s="4" t="s">
        <v>841</v>
      </c>
      <c r="I809" s="4" t="s">
        <v>4</v>
      </c>
      <c r="J809" s="4" t="str">
        <f>IF(K809&lt;30, "Young Adult","Adult")</f>
        <v>Adult</v>
      </c>
      <c r="K809" s="4">
        <v>33</v>
      </c>
      <c r="L809" s="4" t="s">
        <v>6</v>
      </c>
      <c r="M809" s="4">
        <v>4</v>
      </c>
      <c r="N809" s="5">
        <v>500</v>
      </c>
      <c r="O809">
        <f>(M809*N809)</f>
        <v>2000</v>
      </c>
      <c r="P809">
        <f>O809*$S$3</f>
        <v>30</v>
      </c>
      <c r="Q809">
        <f>O809*$S$4</f>
        <v>40</v>
      </c>
    </row>
    <row r="810" spans="1:17">
      <c r="A810" s="2">
        <v>809</v>
      </c>
      <c r="B810" s="4">
        <f>DAY(G810)</f>
        <v>25</v>
      </c>
      <c r="C810">
        <f>MONTH(G810)</f>
        <v>9</v>
      </c>
      <c r="D810">
        <f>YEAR(G810)</f>
        <v>2023</v>
      </c>
      <c r="E810" t="str">
        <f>TEXT(G810,"DDDD")</f>
        <v>Monday</v>
      </c>
      <c r="F810" t="str">
        <f>TEXT(G810,"MMMM")</f>
        <v>September</v>
      </c>
      <c r="G810" s="3">
        <v>45194</v>
      </c>
      <c r="H810" s="4" t="s">
        <v>842</v>
      </c>
      <c r="I810" s="4" t="s">
        <v>3</v>
      </c>
      <c r="J810" s="4" t="str">
        <f>IF(K810&lt;30, "Young Adult","Adult")</f>
        <v>Adult</v>
      </c>
      <c r="K810" s="4">
        <v>62</v>
      </c>
      <c r="L810" s="4" t="s">
        <v>6</v>
      </c>
      <c r="M810" s="4">
        <v>2</v>
      </c>
      <c r="N810" s="5">
        <v>50</v>
      </c>
      <c r="O810">
        <f>(M810*N810)</f>
        <v>100</v>
      </c>
      <c r="P810">
        <f>O810*$S$3</f>
        <v>1.5</v>
      </c>
      <c r="Q810">
        <f>O810*$S$4</f>
        <v>2</v>
      </c>
    </row>
    <row r="811" spans="1:17">
      <c r="A811" s="2">
        <v>810</v>
      </c>
      <c r="B811" s="4">
        <f>DAY(G811)</f>
        <v>30</v>
      </c>
      <c r="C811">
        <f>MONTH(G811)</f>
        <v>11</v>
      </c>
      <c r="D811">
        <f>YEAR(G811)</f>
        <v>2023</v>
      </c>
      <c r="E811" t="str">
        <f>TEXT(G811,"DDDD")</f>
        <v>Thursday</v>
      </c>
      <c r="F811" t="str">
        <f>TEXT(G811,"MMMM")</f>
        <v>November</v>
      </c>
      <c r="G811" s="3">
        <v>45260</v>
      </c>
      <c r="H811" s="4" t="s">
        <v>843</v>
      </c>
      <c r="I811" s="4" t="s">
        <v>4</v>
      </c>
      <c r="J811" s="4" t="str">
        <f>IF(K811&lt;30, "Young Adult","Adult")</f>
        <v>Adult</v>
      </c>
      <c r="K811" s="4">
        <v>59</v>
      </c>
      <c r="L811" s="4" t="s">
        <v>8</v>
      </c>
      <c r="M811" s="4">
        <v>4</v>
      </c>
      <c r="N811" s="5">
        <v>25</v>
      </c>
      <c r="O811">
        <f>(M811*N811)</f>
        <v>100</v>
      </c>
      <c r="P811">
        <f>O811*$S$3</f>
        <v>1.5</v>
      </c>
      <c r="Q811">
        <f>O811*$S$4</f>
        <v>2</v>
      </c>
    </row>
    <row r="812" spans="1:17">
      <c r="A812" s="2">
        <v>811</v>
      </c>
      <c r="B812" s="4">
        <f>DAY(G812)</f>
        <v>19</v>
      </c>
      <c r="C812">
        <f>MONTH(G812)</f>
        <v>5</v>
      </c>
      <c r="D812">
        <f>YEAR(G812)</f>
        <v>2023</v>
      </c>
      <c r="E812" t="str">
        <f>TEXT(G812,"DDDD")</f>
        <v>Friday</v>
      </c>
      <c r="F812" t="str">
        <f>TEXT(G812,"MMMM")</f>
        <v>May</v>
      </c>
      <c r="G812" s="3">
        <v>45065</v>
      </c>
      <c r="H812" s="4" t="s">
        <v>844</v>
      </c>
      <c r="I812" s="4" t="s">
        <v>4</v>
      </c>
      <c r="J812" s="4" t="str">
        <f>IF(K812&lt;30, "Young Adult","Adult")</f>
        <v>Adult</v>
      </c>
      <c r="K812" s="4">
        <v>61</v>
      </c>
      <c r="L812" s="4" t="s">
        <v>6</v>
      </c>
      <c r="M812" s="4">
        <v>2</v>
      </c>
      <c r="N812" s="5">
        <v>25</v>
      </c>
      <c r="O812">
        <f>(M812*N812)</f>
        <v>50</v>
      </c>
      <c r="P812">
        <f>O812*$S$3</f>
        <v>0.75</v>
      </c>
      <c r="Q812">
        <f>O812*$S$4</f>
        <v>1</v>
      </c>
    </row>
    <row r="813" spans="1:17">
      <c r="A813" s="2">
        <v>812</v>
      </c>
      <c r="B813" s="4">
        <f>DAY(G813)</f>
        <v>12</v>
      </c>
      <c r="C813">
        <f>MONTH(G813)</f>
        <v>11</v>
      </c>
      <c r="D813">
        <f>YEAR(G813)</f>
        <v>2023</v>
      </c>
      <c r="E813" t="str">
        <f>TEXT(G813,"DDDD")</f>
        <v>Sunday</v>
      </c>
      <c r="F813" t="str">
        <f>TEXT(G813,"MMMM")</f>
        <v>November</v>
      </c>
      <c r="G813" s="3">
        <v>45242</v>
      </c>
      <c r="H813" s="4" t="s">
        <v>845</v>
      </c>
      <c r="I813" s="4" t="s">
        <v>4</v>
      </c>
      <c r="J813" s="4" t="str">
        <f>IF(K813&lt;30, "Young Adult","Adult")</f>
        <v>Young Adult</v>
      </c>
      <c r="K813" s="4">
        <v>19</v>
      </c>
      <c r="L813" s="4" t="s">
        <v>8</v>
      </c>
      <c r="M813" s="4">
        <v>3</v>
      </c>
      <c r="N813" s="5">
        <v>25</v>
      </c>
      <c r="O813">
        <f>(M813*N813)</f>
        <v>75</v>
      </c>
      <c r="P813">
        <f>O813*$S$3</f>
        <v>1.125</v>
      </c>
      <c r="Q813">
        <f>O813*$S$4</f>
        <v>1.5</v>
      </c>
    </row>
    <row r="814" spans="1:17">
      <c r="A814" s="2">
        <v>813</v>
      </c>
      <c r="B814" s="4">
        <f>DAY(G814)</f>
        <v>3</v>
      </c>
      <c r="C814">
        <f>MONTH(G814)</f>
        <v>10</v>
      </c>
      <c r="D814">
        <f>YEAR(G814)</f>
        <v>2023</v>
      </c>
      <c r="E814" t="str">
        <f>TEXT(G814,"DDDD")</f>
        <v>Tuesday</v>
      </c>
      <c r="F814" t="str">
        <f>TEXT(G814,"MMMM")</f>
        <v>October</v>
      </c>
      <c r="G814" s="3">
        <v>45202</v>
      </c>
      <c r="H814" s="4" t="s">
        <v>846</v>
      </c>
      <c r="I814" s="4" t="s">
        <v>4</v>
      </c>
      <c r="J814" s="4" t="str">
        <f>IF(K814&lt;30, "Young Adult","Adult")</f>
        <v>Adult</v>
      </c>
      <c r="K814" s="4">
        <v>52</v>
      </c>
      <c r="L814" s="4" t="s">
        <v>8</v>
      </c>
      <c r="M814" s="4">
        <v>3</v>
      </c>
      <c r="N814" s="5">
        <v>50</v>
      </c>
      <c r="O814">
        <f>(M814*N814)</f>
        <v>150</v>
      </c>
      <c r="P814">
        <f>O814*$S$3</f>
        <v>2.25</v>
      </c>
      <c r="Q814">
        <f>O814*$S$4</f>
        <v>3</v>
      </c>
    </row>
    <row r="815" spans="1:17">
      <c r="A815" s="2">
        <v>814</v>
      </c>
      <c r="B815" s="4">
        <f>DAY(G815)</f>
        <v>5</v>
      </c>
      <c r="C815">
        <f>MONTH(G815)</f>
        <v>9</v>
      </c>
      <c r="D815">
        <f>YEAR(G815)</f>
        <v>2023</v>
      </c>
      <c r="E815" t="str">
        <f>TEXT(G815,"DDDD")</f>
        <v>Tuesday</v>
      </c>
      <c r="F815" t="str">
        <f>TEXT(G815,"MMMM")</f>
        <v>September</v>
      </c>
      <c r="G815" s="3">
        <v>45174</v>
      </c>
      <c r="H815" s="4" t="s">
        <v>847</v>
      </c>
      <c r="I815" s="4" t="s">
        <v>3</v>
      </c>
      <c r="J815" s="4" t="str">
        <f>IF(K815&lt;30, "Young Adult","Adult")</f>
        <v>Adult</v>
      </c>
      <c r="K815" s="4">
        <v>59</v>
      </c>
      <c r="L815" s="4" t="s">
        <v>7</v>
      </c>
      <c r="M815" s="4">
        <v>1</v>
      </c>
      <c r="N815" s="5">
        <v>500</v>
      </c>
      <c r="O815">
        <f>(M815*N815)</f>
        <v>500</v>
      </c>
      <c r="P815">
        <f>O815*$S$3</f>
        <v>7.5</v>
      </c>
      <c r="Q815">
        <f>O815*$S$4</f>
        <v>10</v>
      </c>
    </row>
    <row r="816" spans="1:17">
      <c r="A816" s="2">
        <v>815</v>
      </c>
      <c r="B816" s="4">
        <f>DAY(G816)</f>
        <v>27</v>
      </c>
      <c r="C816">
        <f>MONTH(G816)</f>
        <v>8</v>
      </c>
      <c r="D816">
        <f>YEAR(G816)</f>
        <v>2023</v>
      </c>
      <c r="E816" t="str">
        <f>TEXT(G816,"DDDD")</f>
        <v>Sunday</v>
      </c>
      <c r="F816" t="str">
        <f>TEXT(G816,"MMMM")</f>
        <v>August</v>
      </c>
      <c r="G816" s="3">
        <v>45165</v>
      </c>
      <c r="H816" s="4" t="s">
        <v>848</v>
      </c>
      <c r="I816" s="4" t="s">
        <v>3</v>
      </c>
      <c r="J816" s="4" t="str">
        <f>IF(K816&lt;30, "Young Adult","Adult")</f>
        <v>Adult</v>
      </c>
      <c r="K816" s="4">
        <v>51</v>
      </c>
      <c r="L816" s="4" t="s">
        <v>7</v>
      </c>
      <c r="M816" s="4">
        <v>3</v>
      </c>
      <c r="N816" s="5">
        <v>25</v>
      </c>
      <c r="O816">
        <f>(M816*N816)</f>
        <v>75</v>
      </c>
      <c r="P816">
        <f>O816*$S$3</f>
        <v>1.125</v>
      </c>
      <c r="Q816">
        <f>O816*$S$4</f>
        <v>1.5</v>
      </c>
    </row>
    <row r="817" spans="1:17">
      <c r="A817" s="2">
        <v>816</v>
      </c>
      <c r="B817" s="4">
        <f>DAY(G817)</f>
        <v>12</v>
      </c>
      <c r="C817">
        <f>MONTH(G817)</f>
        <v>8</v>
      </c>
      <c r="D817">
        <f>YEAR(G817)</f>
        <v>2023</v>
      </c>
      <c r="E817" t="str">
        <f>TEXT(G817,"DDDD")</f>
        <v>Saturday</v>
      </c>
      <c r="F817" t="str">
        <f>TEXT(G817,"MMMM")</f>
        <v>August</v>
      </c>
      <c r="G817" s="3">
        <v>45150</v>
      </c>
      <c r="H817" s="4" t="s">
        <v>849</v>
      </c>
      <c r="I817" s="4" t="s">
        <v>4</v>
      </c>
      <c r="J817" s="4" t="str">
        <f>IF(K817&lt;30, "Young Adult","Adult")</f>
        <v>Adult</v>
      </c>
      <c r="K817" s="4">
        <v>47</v>
      </c>
      <c r="L817" s="4" t="s">
        <v>6</v>
      </c>
      <c r="M817" s="4">
        <v>2</v>
      </c>
      <c r="N817" s="5">
        <v>500</v>
      </c>
      <c r="O817">
        <f>(M817*N817)</f>
        <v>1000</v>
      </c>
      <c r="P817">
        <f>O817*$S$3</f>
        <v>15</v>
      </c>
      <c r="Q817">
        <f>O817*$S$4</f>
        <v>20</v>
      </c>
    </row>
    <row r="818" spans="1:17">
      <c r="A818" s="2">
        <v>817</v>
      </c>
      <c r="B818" s="4">
        <f>DAY(G818)</f>
        <v>31</v>
      </c>
      <c r="C818">
        <f>MONTH(G818)</f>
        <v>10</v>
      </c>
      <c r="D818">
        <f>YEAR(G818)</f>
        <v>2023</v>
      </c>
      <c r="E818" t="str">
        <f>TEXT(G818,"DDDD")</f>
        <v>Tuesday</v>
      </c>
      <c r="F818" t="str">
        <f>TEXT(G818,"MMMM")</f>
        <v>October</v>
      </c>
      <c r="G818" s="3">
        <v>45230</v>
      </c>
      <c r="H818" s="4" t="s">
        <v>850</v>
      </c>
      <c r="I818" s="4" t="s">
        <v>4</v>
      </c>
      <c r="J818" s="4" t="str">
        <f>IF(K818&lt;30, "Young Adult","Adult")</f>
        <v>Adult</v>
      </c>
      <c r="K818" s="4">
        <v>30</v>
      </c>
      <c r="L818" s="4" t="s">
        <v>6</v>
      </c>
      <c r="M818" s="4">
        <v>4</v>
      </c>
      <c r="N818" s="5">
        <v>50</v>
      </c>
      <c r="O818">
        <f>(M818*N818)</f>
        <v>200</v>
      </c>
      <c r="P818">
        <f>O818*$S$3</f>
        <v>3</v>
      </c>
      <c r="Q818">
        <f>O818*$S$4</f>
        <v>4</v>
      </c>
    </row>
    <row r="819" spans="1:17">
      <c r="A819" s="2">
        <v>818</v>
      </c>
      <c r="B819" s="4">
        <f>DAY(G819)</f>
        <v>18</v>
      </c>
      <c r="C819">
        <f>MONTH(G819)</f>
        <v>5</v>
      </c>
      <c r="D819">
        <f>YEAR(G819)</f>
        <v>2023</v>
      </c>
      <c r="E819" t="str">
        <f>TEXT(G819,"DDDD")</f>
        <v>Thursday</v>
      </c>
      <c r="F819" t="str">
        <f>TEXT(G819,"MMMM")</f>
        <v>May</v>
      </c>
      <c r="G819" s="3">
        <v>45064</v>
      </c>
      <c r="H819" s="4" t="s">
        <v>851</v>
      </c>
      <c r="I819" s="4" t="s">
        <v>4</v>
      </c>
      <c r="J819" s="4" t="str">
        <f>IF(K819&lt;30, "Young Adult","Adult")</f>
        <v>Adult</v>
      </c>
      <c r="K819" s="4">
        <v>30</v>
      </c>
      <c r="L819" s="4" t="s">
        <v>8</v>
      </c>
      <c r="M819" s="4">
        <v>1</v>
      </c>
      <c r="N819" s="5">
        <v>500</v>
      </c>
      <c r="O819">
        <f>(M819*N819)</f>
        <v>500</v>
      </c>
      <c r="P819">
        <f>O819*$S$3</f>
        <v>7.5</v>
      </c>
      <c r="Q819">
        <f>O819*$S$4</f>
        <v>10</v>
      </c>
    </row>
    <row r="820" spans="1:17">
      <c r="A820" s="2">
        <v>819</v>
      </c>
      <c r="B820" s="4">
        <f>DAY(G820)</f>
        <v>15</v>
      </c>
      <c r="C820">
        <f>MONTH(G820)</f>
        <v>6</v>
      </c>
      <c r="D820">
        <f>YEAR(G820)</f>
        <v>2023</v>
      </c>
      <c r="E820" t="str">
        <f>TEXT(G820,"DDDD")</f>
        <v>Thursday</v>
      </c>
      <c r="F820" t="str">
        <f>TEXT(G820,"MMMM")</f>
        <v>June</v>
      </c>
      <c r="G820" s="3">
        <v>45092</v>
      </c>
      <c r="H820" s="4" t="s">
        <v>852</v>
      </c>
      <c r="I820" s="4" t="s">
        <v>3</v>
      </c>
      <c r="J820" s="4" t="str">
        <f>IF(K820&lt;30, "Young Adult","Adult")</f>
        <v>Adult</v>
      </c>
      <c r="K820" s="4">
        <v>35</v>
      </c>
      <c r="L820" s="4" t="s">
        <v>6</v>
      </c>
      <c r="M820" s="4">
        <v>2</v>
      </c>
      <c r="N820" s="5">
        <v>50</v>
      </c>
      <c r="O820">
        <f>(M820*N820)</f>
        <v>100</v>
      </c>
      <c r="P820">
        <f>O820*$S$3</f>
        <v>1.5</v>
      </c>
      <c r="Q820">
        <f>O820*$S$4</f>
        <v>2</v>
      </c>
    </row>
    <row r="821" spans="1:17">
      <c r="A821" s="2">
        <v>820</v>
      </c>
      <c r="B821" s="4">
        <f>DAY(G821)</f>
        <v>6</v>
      </c>
      <c r="C821">
        <f>MONTH(G821)</f>
        <v>5</v>
      </c>
      <c r="D821">
        <f>YEAR(G821)</f>
        <v>2023</v>
      </c>
      <c r="E821" t="str">
        <f>TEXT(G821,"DDDD")</f>
        <v>Saturday</v>
      </c>
      <c r="F821" t="str">
        <f>TEXT(G821,"MMMM")</f>
        <v>May</v>
      </c>
      <c r="G821" s="3">
        <v>45052</v>
      </c>
      <c r="H821" s="4" t="s">
        <v>853</v>
      </c>
      <c r="I821" s="4" t="s">
        <v>4</v>
      </c>
      <c r="J821" s="4" t="str">
        <f>IF(K821&lt;30, "Young Adult","Adult")</f>
        <v>Adult</v>
      </c>
      <c r="K821" s="4">
        <v>49</v>
      </c>
      <c r="L821" s="4" t="s">
        <v>8</v>
      </c>
      <c r="M821" s="4">
        <v>4</v>
      </c>
      <c r="N821" s="5">
        <v>50</v>
      </c>
      <c r="O821">
        <f>(M821*N821)</f>
        <v>200</v>
      </c>
      <c r="P821">
        <f>O821*$S$3</f>
        <v>3</v>
      </c>
      <c r="Q821">
        <f>O821*$S$4</f>
        <v>4</v>
      </c>
    </row>
    <row r="822" spans="1:17">
      <c r="A822" s="2">
        <v>821</v>
      </c>
      <c r="B822" s="4">
        <f>DAY(G822)</f>
        <v>14</v>
      </c>
      <c r="C822">
        <f>MONTH(G822)</f>
        <v>2</v>
      </c>
      <c r="D822">
        <f>YEAR(G822)</f>
        <v>2023</v>
      </c>
      <c r="E822" t="str">
        <f>TEXT(G822,"DDDD")</f>
        <v>Tuesday</v>
      </c>
      <c r="F822" t="str">
        <f>TEXT(G822,"MMMM")</f>
        <v>February</v>
      </c>
      <c r="G822" s="3">
        <v>44971</v>
      </c>
      <c r="H822" s="4" t="s">
        <v>854</v>
      </c>
      <c r="I822" s="4" t="s">
        <v>4</v>
      </c>
      <c r="J822" s="4" t="str">
        <f>IF(K822&lt;30, "Young Adult","Adult")</f>
        <v>Adult</v>
      </c>
      <c r="K822" s="4">
        <v>49</v>
      </c>
      <c r="L822" s="4" t="s">
        <v>8</v>
      </c>
      <c r="M822" s="4">
        <v>1</v>
      </c>
      <c r="N822" s="5">
        <v>300</v>
      </c>
      <c r="O822">
        <f>(M822*N822)</f>
        <v>300</v>
      </c>
      <c r="P822">
        <f>O822*$S$3</f>
        <v>4.5</v>
      </c>
      <c r="Q822">
        <f>O822*$S$4</f>
        <v>6</v>
      </c>
    </row>
    <row r="823" spans="1:17">
      <c r="A823" s="2">
        <v>822</v>
      </c>
      <c r="B823" s="4">
        <f>DAY(G823)</f>
        <v>23</v>
      </c>
      <c r="C823">
        <f>MONTH(G823)</f>
        <v>5</v>
      </c>
      <c r="D823">
        <f>YEAR(G823)</f>
        <v>2023</v>
      </c>
      <c r="E823" t="str">
        <f>TEXT(G823,"DDDD")</f>
        <v>Tuesday</v>
      </c>
      <c r="F823" t="str">
        <f>TEXT(G823,"MMMM")</f>
        <v>May</v>
      </c>
      <c r="G823" s="3">
        <v>45069</v>
      </c>
      <c r="H823" s="4" t="s">
        <v>855</v>
      </c>
      <c r="I823" s="4" t="s">
        <v>3</v>
      </c>
      <c r="J823" s="4" t="str">
        <f>IF(K823&lt;30, "Young Adult","Adult")</f>
        <v>Adult</v>
      </c>
      <c r="K823" s="4">
        <v>52</v>
      </c>
      <c r="L823" s="4" t="s">
        <v>6</v>
      </c>
      <c r="M823" s="4">
        <v>3</v>
      </c>
      <c r="N823" s="5">
        <v>50</v>
      </c>
      <c r="O823">
        <f>(M823*N823)</f>
        <v>150</v>
      </c>
      <c r="P823">
        <f>O823*$S$3</f>
        <v>2.25</v>
      </c>
      <c r="Q823">
        <f>O823*$S$4</f>
        <v>3</v>
      </c>
    </row>
    <row r="824" spans="1:17">
      <c r="A824" s="2">
        <v>823</v>
      </c>
      <c r="B824" s="4">
        <f>DAY(G824)</f>
        <v>19</v>
      </c>
      <c r="C824">
        <f>MONTH(G824)</f>
        <v>8</v>
      </c>
      <c r="D824">
        <f>YEAR(G824)</f>
        <v>2023</v>
      </c>
      <c r="E824" t="str">
        <f>TEXT(G824,"DDDD")</f>
        <v>Saturday</v>
      </c>
      <c r="F824" t="str">
        <f>TEXT(G824,"MMMM")</f>
        <v>August</v>
      </c>
      <c r="G824" s="3">
        <v>45157</v>
      </c>
      <c r="H824" s="4" t="s">
        <v>856</v>
      </c>
      <c r="I824" s="4" t="s">
        <v>3</v>
      </c>
      <c r="J824" s="4" t="str">
        <f>IF(K824&lt;30, "Young Adult","Adult")</f>
        <v>Adult</v>
      </c>
      <c r="K824" s="4">
        <v>56</v>
      </c>
      <c r="L824" s="4" t="s">
        <v>8</v>
      </c>
      <c r="M824" s="4">
        <v>2</v>
      </c>
      <c r="N824" s="5">
        <v>50</v>
      </c>
      <c r="O824">
        <f>(M824*N824)</f>
        <v>100</v>
      </c>
      <c r="P824">
        <f>O824*$S$3</f>
        <v>1.5</v>
      </c>
      <c r="Q824">
        <f>O824*$S$4</f>
        <v>2</v>
      </c>
    </row>
    <row r="825" spans="1:17">
      <c r="A825" s="2">
        <v>824</v>
      </c>
      <c r="B825" s="4">
        <f>DAY(G825)</f>
        <v>5</v>
      </c>
      <c r="C825">
        <f>MONTH(G825)</f>
        <v>5</v>
      </c>
      <c r="D825">
        <f>YEAR(G825)</f>
        <v>2023</v>
      </c>
      <c r="E825" t="str">
        <f>TEXT(G825,"DDDD")</f>
        <v>Friday</v>
      </c>
      <c r="F825" t="str">
        <f>TEXT(G825,"MMMM")</f>
        <v>May</v>
      </c>
      <c r="G825" s="3">
        <v>45051</v>
      </c>
      <c r="H825" s="4" t="s">
        <v>857</v>
      </c>
      <c r="I825" s="4" t="s">
        <v>4</v>
      </c>
      <c r="J825" s="4" t="str">
        <f>IF(K825&lt;30, "Young Adult","Adult")</f>
        <v>Adult</v>
      </c>
      <c r="K825" s="4">
        <v>63</v>
      </c>
      <c r="L825" s="4" t="s">
        <v>7</v>
      </c>
      <c r="M825" s="4">
        <v>4</v>
      </c>
      <c r="N825" s="5">
        <v>30</v>
      </c>
      <c r="O825">
        <f>(M825*N825)</f>
        <v>120</v>
      </c>
      <c r="P825">
        <f>O825*$S$3</f>
        <v>1.7999999999999998</v>
      </c>
      <c r="Q825">
        <f>O825*$S$4</f>
        <v>2.4</v>
      </c>
    </row>
    <row r="826" spans="1:17">
      <c r="A826" s="2">
        <v>825</v>
      </c>
      <c r="B826" s="4">
        <f>DAY(G826)</f>
        <v>26</v>
      </c>
      <c r="C826">
        <f>MONTH(G826)</f>
        <v>8</v>
      </c>
      <c r="D826">
        <f>YEAR(G826)</f>
        <v>2023</v>
      </c>
      <c r="E826" t="str">
        <f>TEXT(G826,"DDDD")</f>
        <v>Saturday</v>
      </c>
      <c r="F826" t="str">
        <f>TEXT(G826,"MMMM")</f>
        <v>August</v>
      </c>
      <c r="G826" s="3">
        <v>45164</v>
      </c>
      <c r="H826" s="4" t="s">
        <v>858</v>
      </c>
      <c r="I826" s="4" t="s">
        <v>3</v>
      </c>
      <c r="J826" s="4" t="str">
        <f>IF(K826&lt;30, "Young Adult","Adult")</f>
        <v>Adult</v>
      </c>
      <c r="K826" s="4">
        <v>46</v>
      </c>
      <c r="L826" s="4" t="s">
        <v>6</v>
      </c>
      <c r="M826" s="4">
        <v>1</v>
      </c>
      <c r="N826" s="5">
        <v>25</v>
      </c>
      <c r="O826">
        <f>(M826*N826)</f>
        <v>25</v>
      </c>
      <c r="P826">
        <f>O826*$S$3</f>
        <v>0.375</v>
      </c>
      <c r="Q826">
        <f>O826*$S$4</f>
        <v>0.5</v>
      </c>
    </row>
    <row r="827" spans="1:17">
      <c r="A827" s="2">
        <v>826</v>
      </c>
      <c r="B827" s="4">
        <f>DAY(G827)</f>
        <v>19</v>
      </c>
      <c r="C827">
        <f>MONTH(G827)</f>
        <v>10</v>
      </c>
      <c r="D827">
        <f>YEAR(G827)</f>
        <v>2023</v>
      </c>
      <c r="E827" t="str">
        <f>TEXT(G827,"DDDD")</f>
        <v>Thursday</v>
      </c>
      <c r="F827" t="str">
        <f>TEXT(G827,"MMMM")</f>
        <v>October</v>
      </c>
      <c r="G827" s="3">
        <v>45218</v>
      </c>
      <c r="H827" s="4" t="s">
        <v>859</v>
      </c>
      <c r="I827" s="4" t="s">
        <v>3</v>
      </c>
      <c r="J827" s="4" t="str">
        <f>IF(K827&lt;30, "Young Adult","Adult")</f>
        <v>Adult</v>
      </c>
      <c r="K827" s="4">
        <v>46</v>
      </c>
      <c r="L827" s="4" t="s">
        <v>7</v>
      </c>
      <c r="M827" s="4">
        <v>1</v>
      </c>
      <c r="N827" s="5">
        <v>300</v>
      </c>
      <c r="O827">
        <f>(M827*N827)</f>
        <v>300</v>
      </c>
      <c r="P827">
        <f>O827*$S$3</f>
        <v>4.5</v>
      </c>
      <c r="Q827">
        <f>O827*$S$4</f>
        <v>6</v>
      </c>
    </row>
    <row r="828" spans="1:17">
      <c r="A828" s="2">
        <v>827</v>
      </c>
      <c r="B828" s="4">
        <f>DAY(G828)</f>
        <v>9</v>
      </c>
      <c r="C828">
        <f>MONTH(G828)</f>
        <v>11</v>
      </c>
      <c r="D828">
        <f>YEAR(G828)</f>
        <v>2023</v>
      </c>
      <c r="E828" t="str">
        <f>TEXT(G828,"DDDD")</f>
        <v>Thursday</v>
      </c>
      <c r="F828" t="str">
        <f>TEXT(G828,"MMMM")</f>
        <v>November</v>
      </c>
      <c r="G828" s="3">
        <v>45239</v>
      </c>
      <c r="H828" s="4" t="s">
        <v>860</v>
      </c>
      <c r="I828" s="4" t="s">
        <v>4</v>
      </c>
      <c r="J828" s="4" t="str">
        <f>IF(K828&lt;30, "Young Adult","Adult")</f>
        <v>Adult</v>
      </c>
      <c r="K828" s="4">
        <v>61</v>
      </c>
      <c r="L828" s="4" t="s">
        <v>6</v>
      </c>
      <c r="M828" s="4">
        <v>3</v>
      </c>
      <c r="N828" s="5">
        <v>300</v>
      </c>
      <c r="O828">
        <f>(M828*N828)</f>
        <v>900</v>
      </c>
      <c r="P828">
        <f>O828*$S$3</f>
        <v>13.5</v>
      </c>
      <c r="Q828">
        <f>O828*$S$4</f>
        <v>18</v>
      </c>
    </row>
    <row r="829" spans="1:17">
      <c r="A829" s="2">
        <v>828</v>
      </c>
      <c r="B829" s="4">
        <f>DAY(G829)</f>
        <v>9</v>
      </c>
      <c r="C829">
        <f>MONTH(G829)</f>
        <v>12</v>
      </c>
      <c r="D829">
        <f>YEAR(G829)</f>
        <v>2023</v>
      </c>
      <c r="E829" t="str">
        <f>TEXT(G829,"DDDD")</f>
        <v>Saturday</v>
      </c>
      <c r="F829" t="str">
        <f>TEXT(G829,"MMMM")</f>
        <v>December</v>
      </c>
      <c r="G829" s="3">
        <v>45269</v>
      </c>
      <c r="H829" s="4" t="s">
        <v>861</v>
      </c>
      <c r="I829" s="4" t="s">
        <v>3</v>
      </c>
      <c r="J829" s="4" t="str">
        <f>IF(K829&lt;30, "Young Adult","Adult")</f>
        <v>Adult</v>
      </c>
      <c r="K829" s="4">
        <v>33</v>
      </c>
      <c r="L829" s="4" t="s">
        <v>8</v>
      </c>
      <c r="M829" s="4">
        <v>4</v>
      </c>
      <c r="N829" s="5">
        <v>300</v>
      </c>
      <c r="O829">
        <f>(M829*N829)</f>
        <v>1200</v>
      </c>
      <c r="P829">
        <f>O829*$S$3</f>
        <v>18</v>
      </c>
      <c r="Q829">
        <f>O829*$S$4</f>
        <v>24</v>
      </c>
    </row>
    <row r="830" spans="1:17">
      <c r="A830" s="2">
        <v>829</v>
      </c>
      <c r="B830" s="4">
        <f>DAY(G830)</f>
        <v>14</v>
      </c>
      <c r="C830">
        <f>MONTH(G830)</f>
        <v>7</v>
      </c>
      <c r="D830">
        <f>YEAR(G830)</f>
        <v>2023</v>
      </c>
      <c r="E830" t="str">
        <f>TEXT(G830,"DDDD")</f>
        <v>Friday</v>
      </c>
      <c r="F830" t="str">
        <f>TEXT(G830,"MMMM")</f>
        <v>July</v>
      </c>
      <c r="G830" s="3">
        <v>45121</v>
      </c>
      <c r="H830" s="4" t="s">
        <v>862</v>
      </c>
      <c r="I830" s="4" t="s">
        <v>4</v>
      </c>
      <c r="J830" s="4" t="str">
        <f>IF(K830&lt;30, "Young Adult","Adult")</f>
        <v>Adult</v>
      </c>
      <c r="K830" s="4">
        <v>61</v>
      </c>
      <c r="L830" s="4" t="s">
        <v>6</v>
      </c>
      <c r="M830" s="4">
        <v>3</v>
      </c>
      <c r="N830" s="5">
        <v>30</v>
      </c>
      <c r="O830">
        <f>(M830*N830)</f>
        <v>90</v>
      </c>
      <c r="P830">
        <f>O830*$S$3</f>
        <v>1.3499999999999999</v>
      </c>
      <c r="Q830">
        <f>O830*$S$4</f>
        <v>1.8</v>
      </c>
    </row>
    <row r="831" spans="1:17">
      <c r="A831" s="2">
        <v>830</v>
      </c>
      <c r="B831" s="4">
        <f>DAY(G831)</f>
        <v>22</v>
      </c>
      <c r="C831">
        <f>MONTH(G831)</f>
        <v>6</v>
      </c>
      <c r="D831">
        <f>YEAR(G831)</f>
        <v>2023</v>
      </c>
      <c r="E831" t="str">
        <f>TEXT(G831,"DDDD")</f>
        <v>Thursday</v>
      </c>
      <c r="F831" t="str">
        <f>TEXT(G831,"MMMM")</f>
        <v>June</v>
      </c>
      <c r="G831" s="3">
        <v>45099</v>
      </c>
      <c r="H831" s="4" t="s">
        <v>863</v>
      </c>
      <c r="I831" s="4" t="s">
        <v>3</v>
      </c>
      <c r="J831" s="4" t="str">
        <f>IF(K831&lt;30, "Young Adult","Adult")</f>
        <v>Adult</v>
      </c>
      <c r="K831" s="4">
        <v>64</v>
      </c>
      <c r="L831" s="4" t="s">
        <v>7</v>
      </c>
      <c r="M831" s="4">
        <v>3</v>
      </c>
      <c r="N831" s="5">
        <v>50</v>
      </c>
      <c r="O831">
        <f>(M831*N831)</f>
        <v>150</v>
      </c>
      <c r="P831">
        <f>O831*$S$3</f>
        <v>2.25</v>
      </c>
      <c r="Q831">
        <f>O831*$S$4</f>
        <v>3</v>
      </c>
    </row>
    <row r="832" spans="1:17">
      <c r="A832" s="2">
        <v>831</v>
      </c>
      <c r="B832" s="4">
        <f>DAY(G832)</f>
        <v>15</v>
      </c>
      <c r="C832">
        <f>MONTH(G832)</f>
        <v>1</v>
      </c>
      <c r="D832">
        <f>YEAR(G832)</f>
        <v>2023</v>
      </c>
      <c r="E832" t="str">
        <f>TEXT(G832,"DDDD")</f>
        <v>Sunday</v>
      </c>
      <c r="F832" t="str">
        <f>TEXT(G832,"MMMM")</f>
        <v>January</v>
      </c>
      <c r="G832" s="3">
        <v>44941</v>
      </c>
      <c r="H832" s="4" t="s">
        <v>864</v>
      </c>
      <c r="I832" s="4" t="s">
        <v>4</v>
      </c>
      <c r="J832" s="4" t="str">
        <f>IF(K832&lt;30, "Young Adult","Adult")</f>
        <v>Young Adult</v>
      </c>
      <c r="K832" s="4">
        <v>27</v>
      </c>
      <c r="L832" s="4" t="s">
        <v>8</v>
      </c>
      <c r="M832" s="4">
        <v>4</v>
      </c>
      <c r="N832" s="5">
        <v>25</v>
      </c>
      <c r="O832">
        <f>(M832*N832)</f>
        <v>100</v>
      </c>
      <c r="P832">
        <f>O832*$S$3</f>
        <v>1.5</v>
      </c>
      <c r="Q832">
        <f>O832*$S$4</f>
        <v>2</v>
      </c>
    </row>
    <row r="833" spans="1:17">
      <c r="A833" s="2">
        <v>832</v>
      </c>
      <c r="B833" s="4">
        <f>DAY(G833)</f>
        <v>11</v>
      </c>
      <c r="C833">
        <f>MONTH(G833)</f>
        <v>9</v>
      </c>
      <c r="D833">
        <f>YEAR(G833)</f>
        <v>2023</v>
      </c>
      <c r="E833" t="str">
        <f>TEXT(G833,"DDDD")</f>
        <v>Monday</v>
      </c>
      <c r="F833" t="str">
        <f>TEXT(G833,"MMMM")</f>
        <v>September</v>
      </c>
      <c r="G833" s="3">
        <v>45180</v>
      </c>
      <c r="H833" s="4" t="s">
        <v>865</v>
      </c>
      <c r="I833" s="4" t="s">
        <v>4</v>
      </c>
      <c r="J833" s="4" t="str">
        <f>IF(K833&lt;30, "Young Adult","Adult")</f>
        <v>Adult</v>
      </c>
      <c r="K833" s="4">
        <v>47</v>
      </c>
      <c r="L833" s="4" t="s">
        <v>6</v>
      </c>
      <c r="M833" s="4">
        <v>4</v>
      </c>
      <c r="N833" s="5">
        <v>500</v>
      </c>
      <c r="O833">
        <f>(M833*N833)</f>
        <v>2000</v>
      </c>
      <c r="P833">
        <f>O833*$S$3</f>
        <v>30</v>
      </c>
      <c r="Q833">
        <f>O833*$S$4</f>
        <v>40</v>
      </c>
    </row>
    <row r="834" spans="1:17">
      <c r="A834" s="2">
        <v>833</v>
      </c>
      <c r="B834" s="4">
        <f>DAY(G834)</f>
        <v>16</v>
      </c>
      <c r="C834">
        <f>MONTH(G834)</f>
        <v>6</v>
      </c>
      <c r="D834">
        <f>YEAR(G834)</f>
        <v>2023</v>
      </c>
      <c r="E834" t="str">
        <f>TEXT(G834,"DDDD")</f>
        <v>Friday</v>
      </c>
      <c r="F834" t="str">
        <f>TEXT(G834,"MMMM")</f>
        <v>June</v>
      </c>
      <c r="G834" s="3">
        <v>45093</v>
      </c>
      <c r="H834" s="4" t="s">
        <v>866</v>
      </c>
      <c r="I834" s="4" t="s">
        <v>4</v>
      </c>
      <c r="J834" s="4" t="str">
        <f>IF(K834&lt;30, "Young Adult","Adult")</f>
        <v>Adult</v>
      </c>
      <c r="K834" s="4">
        <v>42</v>
      </c>
      <c r="L834" s="4" t="s">
        <v>6</v>
      </c>
      <c r="M834" s="4">
        <v>4</v>
      </c>
      <c r="N834" s="5">
        <v>50</v>
      </c>
      <c r="O834">
        <f>(M834*N834)</f>
        <v>200</v>
      </c>
      <c r="P834">
        <f>O834*$S$3</f>
        <v>3</v>
      </c>
      <c r="Q834">
        <f>O834*$S$4</f>
        <v>4</v>
      </c>
    </row>
    <row r="835" spans="1:17">
      <c r="A835" s="2">
        <v>834</v>
      </c>
      <c r="B835" s="4">
        <f>DAY(G835)</f>
        <v>4</v>
      </c>
      <c r="C835">
        <f>MONTH(G835)</f>
        <v>4</v>
      </c>
      <c r="D835">
        <f>YEAR(G835)</f>
        <v>2023</v>
      </c>
      <c r="E835" t="str">
        <f>TEXT(G835,"DDDD")</f>
        <v>Tuesday</v>
      </c>
      <c r="F835" t="str">
        <f>TEXT(G835,"MMMM")</f>
        <v>April</v>
      </c>
      <c r="G835" s="3">
        <v>45020</v>
      </c>
      <c r="H835" s="4" t="s">
        <v>867</v>
      </c>
      <c r="I835" s="4" t="s">
        <v>3</v>
      </c>
      <c r="J835" s="4" t="str">
        <f>IF(K835&lt;30, "Young Adult","Adult")</f>
        <v>Adult</v>
      </c>
      <c r="K835" s="4">
        <v>56</v>
      </c>
      <c r="L835" s="4" t="s">
        <v>6</v>
      </c>
      <c r="M835" s="4">
        <v>2</v>
      </c>
      <c r="N835" s="5">
        <v>30</v>
      </c>
      <c r="O835">
        <f>(M835*N835)</f>
        <v>60</v>
      </c>
      <c r="P835">
        <f>O835*$S$3</f>
        <v>0.89999999999999991</v>
      </c>
      <c r="Q835">
        <f>O835*$S$4</f>
        <v>1.2</v>
      </c>
    </row>
    <row r="836" spans="1:17">
      <c r="A836" s="2">
        <v>835</v>
      </c>
      <c r="B836" s="4">
        <f>DAY(G836)</f>
        <v>7</v>
      </c>
      <c r="C836">
        <f>MONTH(G836)</f>
        <v>9</v>
      </c>
      <c r="D836">
        <f>YEAR(G836)</f>
        <v>2023</v>
      </c>
      <c r="E836" t="str">
        <f>TEXT(G836,"DDDD")</f>
        <v>Thursday</v>
      </c>
      <c r="F836" t="str">
        <f>TEXT(G836,"MMMM")</f>
        <v>September</v>
      </c>
      <c r="G836" s="3">
        <v>45176</v>
      </c>
      <c r="H836" s="4" t="s">
        <v>868</v>
      </c>
      <c r="I836" s="4" t="s">
        <v>4</v>
      </c>
      <c r="J836" s="4" t="str">
        <f>IF(K836&lt;30, "Young Adult","Adult")</f>
        <v>Adult</v>
      </c>
      <c r="K836" s="4">
        <v>37</v>
      </c>
      <c r="L836" s="4" t="s">
        <v>7</v>
      </c>
      <c r="M836" s="4">
        <v>4</v>
      </c>
      <c r="N836" s="5">
        <v>50</v>
      </c>
      <c r="O836">
        <f>(M836*N836)</f>
        <v>200</v>
      </c>
      <c r="P836">
        <f>O836*$S$3</f>
        <v>3</v>
      </c>
      <c r="Q836">
        <f>O836*$S$4</f>
        <v>4</v>
      </c>
    </row>
    <row r="837" spans="1:17">
      <c r="A837" s="2">
        <v>836</v>
      </c>
      <c r="B837" s="4">
        <f>DAY(G837)</f>
        <v>19</v>
      </c>
      <c r="C837">
        <f>MONTH(G837)</f>
        <v>4</v>
      </c>
      <c r="D837">
        <f>YEAR(G837)</f>
        <v>2023</v>
      </c>
      <c r="E837" t="str">
        <f>TEXT(G837,"DDDD")</f>
        <v>Wednesday</v>
      </c>
      <c r="F837" t="str">
        <f>TEXT(G837,"MMMM")</f>
        <v>April</v>
      </c>
      <c r="G837" s="3">
        <v>45035</v>
      </c>
      <c r="H837" s="4" t="s">
        <v>869</v>
      </c>
      <c r="I837" s="4" t="s">
        <v>3</v>
      </c>
      <c r="J837" s="4" t="str">
        <f>IF(K837&lt;30, "Young Adult","Adult")</f>
        <v>Young Adult</v>
      </c>
      <c r="K837" s="4">
        <v>22</v>
      </c>
      <c r="L837" s="4" t="s">
        <v>7</v>
      </c>
      <c r="M837" s="4">
        <v>1</v>
      </c>
      <c r="N837" s="5">
        <v>50</v>
      </c>
      <c r="O837">
        <f>(M837*N837)</f>
        <v>50</v>
      </c>
      <c r="P837">
        <f>O837*$S$3</f>
        <v>0.75</v>
      </c>
      <c r="Q837">
        <f>O837*$S$4</f>
        <v>1</v>
      </c>
    </row>
    <row r="838" spans="1:17">
      <c r="A838" s="2">
        <v>837</v>
      </c>
      <c r="B838" s="4">
        <f>DAY(G838)</f>
        <v>1</v>
      </c>
      <c r="C838">
        <f>MONTH(G838)</f>
        <v>7</v>
      </c>
      <c r="D838">
        <f>YEAR(G838)</f>
        <v>2023</v>
      </c>
      <c r="E838" t="str">
        <f>TEXT(G838,"DDDD")</f>
        <v>Saturday</v>
      </c>
      <c r="F838" t="str">
        <f>TEXT(G838,"MMMM")</f>
        <v>July</v>
      </c>
      <c r="G838" s="3">
        <v>45108</v>
      </c>
      <c r="H838" s="4" t="s">
        <v>870</v>
      </c>
      <c r="I838" s="4" t="s">
        <v>4</v>
      </c>
      <c r="J838" s="4" t="str">
        <f>IF(K838&lt;30, "Young Adult","Adult")</f>
        <v>Young Adult</v>
      </c>
      <c r="K838" s="4">
        <v>18</v>
      </c>
      <c r="L838" s="4" t="s">
        <v>6</v>
      </c>
      <c r="M838" s="4">
        <v>3</v>
      </c>
      <c r="N838" s="5">
        <v>30</v>
      </c>
      <c r="O838">
        <f>(M838*N838)</f>
        <v>90</v>
      </c>
      <c r="P838">
        <f>O838*$S$3</f>
        <v>1.3499999999999999</v>
      </c>
      <c r="Q838">
        <f>O838*$S$4</f>
        <v>1.8</v>
      </c>
    </row>
    <row r="839" spans="1:17">
      <c r="A839" s="2">
        <v>838</v>
      </c>
      <c r="B839" s="4">
        <f>DAY(G839)</f>
        <v>13</v>
      </c>
      <c r="C839">
        <f>MONTH(G839)</f>
        <v>5</v>
      </c>
      <c r="D839">
        <f>YEAR(G839)</f>
        <v>2023</v>
      </c>
      <c r="E839" t="str">
        <f>TEXT(G839,"DDDD")</f>
        <v>Saturday</v>
      </c>
      <c r="F839" t="str">
        <f>TEXT(G839,"MMMM")</f>
        <v>May</v>
      </c>
      <c r="G839" s="3">
        <v>45059</v>
      </c>
      <c r="H839" s="4" t="s">
        <v>871</v>
      </c>
      <c r="I839" s="4" t="s">
        <v>4</v>
      </c>
      <c r="J839" s="4" t="str">
        <f>IF(K839&lt;30, "Young Adult","Adult")</f>
        <v>Adult</v>
      </c>
      <c r="K839" s="4">
        <v>47</v>
      </c>
      <c r="L839" s="4" t="s">
        <v>8</v>
      </c>
      <c r="M839" s="4">
        <v>2</v>
      </c>
      <c r="N839" s="5">
        <v>300</v>
      </c>
      <c r="O839">
        <f>(M839*N839)</f>
        <v>600</v>
      </c>
      <c r="P839">
        <f>O839*$S$3</f>
        <v>9</v>
      </c>
      <c r="Q839">
        <f>O839*$S$4</f>
        <v>12</v>
      </c>
    </row>
    <row r="840" spans="1:17">
      <c r="A840" s="2">
        <v>839</v>
      </c>
      <c r="B840" s="4">
        <f>DAY(G840)</f>
        <v>24</v>
      </c>
      <c r="C840">
        <f>MONTH(G840)</f>
        <v>6</v>
      </c>
      <c r="D840">
        <f>YEAR(G840)</f>
        <v>2023</v>
      </c>
      <c r="E840" t="str">
        <f>TEXT(G840,"DDDD")</f>
        <v>Saturday</v>
      </c>
      <c r="F840" t="str">
        <f>TEXT(G840,"MMMM")</f>
        <v>June</v>
      </c>
      <c r="G840" s="3">
        <v>45101</v>
      </c>
      <c r="H840" s="4" t="s">
        <v>872</v>
      </c>
      <c r="I840" s="4" t="s">
        <v>3</v>
      </c>
      <c r="J840" s="4" t="str">
        <f>IF(K840&lt;30, "Young Adult","Adult")</f>
        <v>Young Adult</v>
      </c>
      <c r="K840" s="4">
        <v>20</v>
      </c>
      <c r="L840" s="4" t="s">
        <v>8</v>
      </c>
      <c r="M840" s="4">
        <v>4</v>
      </c>
      <c r="N840" s="5">
        <v>300</v>
      </c>
      <c r="O840">
        <f>(M840*N840)</f>
        <v>1200</v>
      </c>
      <c r="P840">
        <f>O840*$S$3</f>
        <v>18</v>
      </c>
      <c r="Q840">
        <f>O840*$S$4</f>
        <v>24</v>
      </c>
    </row>
    <row r="841" spans="1:17">
      <c r="A841" s="2">
        <v>840</v>
      </c>
      <c r="B841" s="4">
        <f>DAY(G841)</f>
        <v>24</v>
      </c>
      <c r="C841">
        <f>MONTH(G841)</f>
        <v>5</v>
      </c>
      <c r="D841">
        <f>YEAR(G841)</f>
        <v>2023</v>
      </c>
      <c r="E841" t="str">
        <f>TEXT(G841,"DDDD")</f>
        <v>Wednesday</v>
      </c>
      <c r="F841" t="str">
        <f>TEXT(G841,"MMMM")</f>
        <v>May</v>
      </c>
      <c r="G841" s="3">
        <v>45070</v>
      </c>
      <c r="H841" s="4" t="s">
        <v>873</v>
      </c>
      <c r="I841" s="4" t="s">
        <v>4</v>
      </c>
      <c r="J841" s="4" t="str">
        <f>IF(K841&lt;30, "Young Adult","Adult")</f>
        <v>Adult</v>
      </c>
      <c r="K841" s="4">
        <v>62</v>
      </c>
      <c r="L841" s="4" t="s">
        <v>7</v>
      </c>
      <c r="M841" s="4">
        <v>2</v>
      </c>
      <c r="N841" s="5">
        <v>25</v>
      </c>
      <c r="O841">
        <f>(M841*N841)</f>
        <v>50</v>
      </c>
      <c r="P841">
        <f>O841*$S$3</f>
        <v>0.75</v>
      </c>
      <c r="Q841">
        <f>O841*$S$4</f>
        <v>1</v>
      </c>
    </row>
    <row r="842" spans="1:17">
      <c r="A842" s="2">
        <v>841</v>
      </c>
      <c r="B842" s="4">
        <f>DAY(G842)</f>
        <v>2</v>
      </c>
      <c r="C842">
        <f>MONTH(G842)</f>
        <v>11</v>
      </c>
      <c r="D842">
        <f>YEAR(G842)</f>
        <v>2023</v>
      </c>
      <c r="E842" t="str">
        <f>TEXT(G842,"DDDD")</f>
        <v>Thursday</v>
      </c>
      <c r="F842" t="str">
        <f>TEXT(G842,"MMMM")</f>
        <v>November</v>
      </c>
      <c r="G842" s="3">
        <v>45232</v>
      </c>
      <c r="H842" s="4" t="s">
        <v>874</v>
      </c>
      <c r="I842" s="4" t="s">
        <v>4</v>
      </c>
      <c r="J842" s="4" t="str">
        <f>IF(K842&lt;30, "Young Adult","Adult")</f>
        <v>Adult</v>
      </c>
      <c r="K842" s="4">
        <v>31</v>
      </c>
      <c r="L842" s="4" t="s">
        <v>8</v>
      </c>
      <c r="M842" s="4">
        <v>4</v>
      </c>
      <c r="N842" s="5">
        <v>25</v>
      </c>
      <c r="O842">
        <f>(M842*N842)</f>
        <v>100</v>
      </c>
      <c r="P842">
        <f>O842*$S$3</f>
        <v>1.5</v>
      </c>
      <c r="Q842">
        <f>O842*$S$4</f>
        <v>2</v>
      </c>
    </row>
    <row r="843" spans="1:17">
      <c r="A843" s="2">
        <v>842</v>
      </c>
      <c r="B843" s="4">
        <f>DAY(G843)</f>
        <v>26</v>
      </c>
      <c r="C843">
        <f>MONTH(G843)</f>
        <v>12</v>
      </c>
      <c r="D843">
        <f>YEAR(G843)</f>
        <v>2023</v>
      </c>
      <c r="E843" t="str">
        <f>TEXT(G843,"DDDD")</f>
        <v>Tuesday</v>
      </c>
      <c r="F843" t="str">
        <f>TEXT(G843,"MMMM")</f>
        <v>December</v>
      </c>
      <c r="G843" s="3">
        <v>45286</v>
      </c>
      <c r="H843" s="4" t="s">
        <v>875</v>
      </c>
      <c r="I843" s="4" t="s">
        <v>3</v>
      </c>
      <c r="J843" s="4" t="str">
        <f>IF(K843&lt;30, "Young Adult","Adult")</f>
        <v>Adult</v>
      </c>
      <c r="K843" s="4">
        <v>47</v>
      </c>
      <c r="L843" s="4" t="s">
        <v>7</v>
      </c>
      <c r="M843" s="4">
        <v>2</v>
      </c>
      <c r="N843" s="5">
        <v>300</v>
      </c>
      <c r="O843">
        <f>(M843*N843)</f>
        <v>600</v>
      </c>
      <c r="P843">
        <f>O843*$S$3</f>
        <v>9</v>
      </c>
      <c r="Q843">
        <f>O843*$S$4</f>
        <v>12</v>
      </c>
    </row>
    <row r="844" spans="1:17">
      <c r="A844" s="2">
        <v>843</v>
      </c>
      <c r="B844" s="4">
        <f>DAY(G844)</f>
        <v>22</v>
      </c>
      <c r="C844">
        <f>MONTH(G844)</f>
        <v>5</v>
      </c>
      <c r="D844">
        <f>YEAR(G844)</f>
        <v>2023</v>
      </c>
      <c r="E844" t="str">
        <f>TEXT(G844,"DDDD")</f>
        <v>Monday</v>
      </c>
      <c r="F844" t="str">
        <f>TEXT(G844,"MMMM")</f>
        <v>May</v>
      </c>
      <c r="G844" s="3">
        <v>45068</v>
      </c>
      <c r="H844" s="4" t="s">
        <v>876</v>
      </c>
      <c r="I844" s="4" t="s">
        <v>4</v>
      </c>
      <c r="J844" s="4" t="str">
        <f>IF(K844&lt;30, "Young Adult","Adult")</f>
        <v>Young Adult</v>
      </c>
      <c r="K844" s="4">
        <v>21</v>
      </c>
      <c r="L844" s="4" t="s">
        <v>6</v>
      </c>
      <c r="M844" s="4">
        <v>3</v>
      </c>
      <c r="N844" s="5">
        <v>500</v>
      </c>
      <c r="O844">
        <f>(M844*N844)</f>
        <v>1500</v>
      </c>
      <c r="P844">
        <f>O844*$S$3</f>
        <v>22.5</v>
      </c>
      <c r="Q844">
        <f>O844*$S$4</f>
        <v>30</v>
      </c>
    </row>
    <row r="845" spans="1:17">
      <c r="A845" s="2">
        <v>844</v>
      </c>
      <c r="B845" s="4">
        <f>DAY(G845)</f>
        <v>12</v>
      </c>
      <c r="C845">
        <f>MONTH(G845)</f>
        <v>10</v>
      </c>
      <c r="D845">
        <f>YEAR(G845)</f>
        <v>2023</v>
      </c>
      <c r="E845" t="str">
        <f>TEXT(G845,"DDDD")</f>
        <v>Thursday</v>
      </c>
      <c r="F845" t="str">
        <f>TEXT(G845,"MMMM")</f>
        <v>October</v>
      </c>
      <c r="G845" s="3">
        <v>45211</v>
      </c>
      <c r="H845" s="4" t="s">
        <v>877</v>
      </c>
      <c r="I845" s="4" t="s">
        <v>4</v>
      </c>
      <c r="J845" s="4" t="str">
        <f>IF(K845&lt;30, "Young Adult","Adult")</f>
        <v>Adult</v>
      </c>
      <c r="K845" s="4">
        <v>35</v>
      </c>
      <c r="L845" s="4" t="s">
        <v>7</v>
      </c>
      <c r="M845" s="4">
        <v>3</v>
      </c>
      <c r="N845" s="5">
        <v>50</v>
      </c>
      <c r="O845">
        <f>(M845*N845)</f>
        <v>150</v>
      </c>
      <c r="P845">
        <f>O845*$S$3</f>
        <v>2.25</v>
      </c>
      <c r="Q845">
        <f>O845*$S$4</f>
        <v>3</v>
      </c>
    </row>
    <row r="846" spans="1:17">
      <c r="A846" s="2">
        <v>845</v>
      </c>
      <c r="B846" s="4">
        <f>DAY(G846)</f>
        <v>6</v>
      </c>
      <c r="C846">
        <f>MONTH(G846)</f>
        <v>1</v>
      </c>
      <c r="D846">
        <f>YEAR(G846)</f>
        <v>2023</v>
      </c>
      <c r="E846" t="str">
        <f>TEXT(G846,"DDDD")</f>
        <v>Friday</v>
      </c>
      <c r="F846" t="str">
        <f>TEXT(G846,"MMMM")</f>
        <v>January</v>
      </c>
      <c r="G846" s="3">
        <v>44932</v>
      </c>
      <c r="H846" s="4" t="s">
        <v>878</v>
      </c>
      <c r="I846" s="4" t="s">
        <v>4</v>
      </c>
      <c r="J846" s="4" t="str">
        <f>IF(K846&lt;30, "Young Adult","Adult")</f>
        <v>Adult</v>
      </c>
      <c r="K846" s="4">
        <v>54</v>
      </c>
      <c r="L846" s="4" t="s">
        <v>7</v>
      </c>
      <c r="M846" s="4">
        <v>1</v>
      </c>
      <c r="N846" s="5">
        <v>500</v>
      </c>
      <c r="O846">
        <f>(M846*N846)</f>
        <v>500</v>
      </c>
      <c r="P846">
        <f>O846*$S$3</f>
        <v>7.5</v>
      </c>
      <c r="Q846">
        <f>O846*$S$4</f>
        <v>10</v>
      </c>
    </row>
    <row r="847" spans="1:17">
      <c r="A847" s="2">
        <v>846</v>
      </c>
      <c r="B847" s="4">
        <f>DAY(G847)</f>
        <v>22</v>
      </c>
      <c r="C847">
        <f>MONTH(G847)</f>
        <v>9</v>
      </c>
      <c r="D847">
        <f>YEAR(G847)</f>
        <v>2023</v>
      </c>
      <c r="E847" t="str">
        <f>TEXT(G847,"DDDD")</f>
        <v>Friday</v>
      </c>
      <c r="F847" t="str">
        <f>TEXT(G847,"MMMM")</f>
        <v>September</v>
      </c>
      <c r="G847" s="3">
        <v>45191</v>
      </c>
      <c r="H847" s="4" t="s">
        <v>879</v>
      </c>
      <c r="I847" s="4" t="s">
        <v>4</v>
      </c>
      <c r="J847" s="4" t="str">
        <f>IF(K847&lt;30, "Young Adult","Adult")</f>
        <v>Adult</v>
      </c>
      <c r="K847" s="4">
        <v>42</v>
      </c>
      <c r="L847" s="4" t="s">
        <v>6</v>
      </c>
      <c r="M847" s="4">
        <v>1</v>
      </c>
      <c r="N847" s="5">
        <v>50</v>
      </c>
      <c r="O847">
        <f>(M847*N847)</f>
        <v>50</v>
      </c>
      <c r="P847">
        <f>O847*$S$3</f>
        <v>0.75</v>
      </c>
      <c r="Q847">
        <f>O847*$S$4</f>
        <v>1</v>
      </c>
    </row>
    <row r="848" spans="1:17">
      <c r="A848" s="2">
        <v>847</v>
      </c>
      <c r="B848" s="4">
        <f>DAY(G848)</f>
        <v>8</v>
      </c>
      <c r="C848">
        <f>MONTH(G848)</f>
        <v>4</v>
      </c>
      <c r="D848">
        <f>YEAR(G848)</f>
        <v>2023</v>
      </c>
      <c r="E848" t="str">
        <f>TEXT(G848,"DDDD")</f>
        <v>Saturday</v>
      </c>
      <c r="F848" t="str">
        <f>TEXT(G848,"MMMM")</f>
        <v>April</v>
      </c>
      <c r="G848" s="3">
        <v>45024</v>
      </c>
      <c r="H848" s="4" t="s">
        <v>880</v>
      </c>
      <c r="I848" s="4" t="s">
        <v>3</v>
      </c>
      <c r="J848" s="4" t="str">
        <f>IF(K848&lt;30, "Young Adult","Adult")</f>
        <v>Young Adult</v>
      </c>
      <c r="K848" s="4">
        <v>18</v>
      </c>
      <c r="L848" s="4" t="s">
        <v>8</v>
      </c>
      <c r="M848" s="4">
        <v>4</v>
      </c>
      <c r="N848" s="5">
        <v>300</v>
      </c>
      <c r="O848">
        <f>(M848*N848)</f>
        <v>1200</v>
      </c>
      <c r="P848">
        <f>O848*$S$3</f>
        <v>18</v>
      </c>
      <c r="Q848">
        <f>O848*$S$4</f>
        <v>24</v>
      </c>
    </row>
    <row r="849" spans="1:17">
      <c r="A849" s="2">
        <v>848</v>
      </c>
      <c r="B849" s="4">
        <f>DAY(G849)</f>
        <v>13</v>
      </c>
      <c r="C849">
        <f>MONTH(G849)</f>
        <v>2</v>
      </c>
      <c r="D849">
        <f>YEAR(G849)</f>
        <v>2023</v>
      </c>
      <c r="E849" t="str">
        <f>TEXT(G849,"DDDD")</f>
        <v>Monday</v>
      </c>
      <c r="F849" t="str">
        <f>TEXT(G849,"MMMM")</f>
        <v>February</v>
      </c>
      <c r="G849" s="3">
        <v>44970</v>
      </c>
      <c r="H849" s="4" t="s">
        <v>881</v>
      </c>
      <c r="I849" s="4" t="s">
        <v>3</v>
      </c>
      <c r="J849" s="4" t="str">
        <f>IF(K849&lt;30, "Young Adult","Adult")</f>
        <v>Adult</v>
      </c>
      <c r="K849" s="4">
        <v>63</v>
      </c>
      <c r="L849" s="4" t="s">
        <v>7</v>
      </c>
      <c r="M849" s="4">
        <v>3</v>
      </c>
      <c r="N849" s="5">
        <v>25</v>
      </c>
      <c r="O849">
        <f>(M849*N849)</f>
        <v>75</v>
      </c>
      <c r="P849">
        <f>O849*$S$3</f>
        <v>1.125</v>
      </c>
      <c r="Q849">
        <f>O849*$S$4</f>
        <v>1.5</v>
      </c>
    </row>
    <row r="850" spans="1:17">
      <c r="A850" s="2">
        <v>849</v>
      </c>
      <c r="B850" s="4">
        <f>DAY(G850)</f>
        <v>4</v>
      </c>
      <c r="C850">
        <f>MONTH(G850)</f>
        <v>5</v>
      </c>
      <c r="D850">
        <f>YEAR(G850)</f>
        <v>2023</v>
      </c>
      <c r="E850" t="str">
        <f>TEXT(G850,"DDDD")</f>
        <v>Thursday</v>
      </c>
      <c r="F850" t="str">
        <f>TEXT(G850,"MMMM")</f>
        <v>May</v>
      </c>
      <c r="G850" s="3">
        <v>45050</v>
      </c>
      <c r="H850" s="4" t="s">
        <v>882</v>
      </c>
      <c r="I850" s="4" t="s">
        <v>4</v>
      </c>
      <c r="J850" s="4" t="str">
        <f>IF(K850&lt;30, "Young Adult","Adult")</f>
        <v>Adult</v>
      </c>
      <c r="K850" s="4">
        <v>32</v>
      </c>
      <c r="L850" s="4" t="s">
        <v>7</v>
      </c>
      <c r="M850" s="4">
        <v>2</v>
      </c>
      <c r="N850" s="5">
        <v>25</v>
      </c>
      <c r="O850">
        <f>(M850*N850)</f>
        <v>50</v>
      </c>
      <c r="P850">
        <f>O850*$S$3</f>
        <v>0.75</v>
      </c>
      <c r="Q850">
        <f>O850*$S$4</f>
        <v>1</v>
      </c>
    </row>
    <row r="851" spans="1:17">
      <c r="A851" s="2">
        <v>850</v>
      </c>
      <c r="B851" s="4">
        <f>DAY(G851)</f>
        <v>28</v>
      </c>
      <c r="C851">
        <f>MONTH(G851)</f>
        <v>7</v>
      </c>
      <c r="D851">
        <f>YEAR(G851)</f>
        <v>2023</v>
      </c>
      <c r="E851" t="str">
        <f>TEXT(G851,"DDDD")</f>
        <v>Friday</v>
      </c>
      <c r="F851" t="str">
        <f>TEXT(G851,"MMMM")</f>
        <v>July</v>
      </c>
      <c r="G851" s="3">
        <v>45135</v>
      </c>
      <c r="H851" s="4" t="s">
        <v>883</v>
      </c>
      <c r="I851" s="4" t="s">
        <v>3</v>
      </c>
      <c r="J851" s="4" t="str">
        <f>IF(K851&lt;30, "Young Adult","Adult")</f>
        <v>Young Adult</v>
      </c>
      <c r="K851" s="4">
        <v>26</v>
      </c>
      <c r="L851" s="4" t="s">
        <v>6</v>
      </c>
      <c r="M851" s="4">
        <v>2</v>
      </c>
      <c r="N851" s="5">
        <v>500</v>
      </c>
      <c r="O851">
        <f>(M851*N851)</f>
        <v>1000</v>
      </c>
      <c r="P851">
        <f>O851*$S$3</f>
        <v>15</v>
      </c>
      <c r="Q851">
        <f>O851*$S$4</f>
        <v>20</v>
      </c>
    </row>
    <row r="852" spans="1:17">
      <c r="A852" s="2">
        <v>851</v>
      </c>
      <c r="B852" s="4">
        <f>DAY(G852)</f>
        <v>8</v>
      </c>
      <c r="C852">
        <f>MONTH(G852)</f>
        <v>9</v>
      </c>
      <c r="D852">
        <f>YEAR(G852)</f>
        <v>2023</v>
      </c>
      <c r="E852" t="str">
        <f>TEXT(G852,"DDDD")</f>
        <v>Friday</v>
      </c>
      <c r="F852" t="str">
        <f>TEXT(G852,"MMMM")</f>
        <v>September</v>
      </c>
      <c r="G852" s="3">
        <v>45177</v>
      </c>
      <c r="H852" s="4" t="s">
        <v>884</v>
      </c>
      <c r="I852" s="4" t="s">
        <v>4</v>
      </c>
      <c r="J852" s="4" t="str">
        <f>IF(K852&lt;30, "Young Adult","Adult")</f>
        <v>Adult</v>
      </c>
      <c r="K852" s="4">
        <v>32</v>
      </c>
      <c r="L852" s="4" t="s">
        <v>8</v>
      </c>
      <c r="M852" s="4">
        <v>2</v>
      </c>
      <c r="N852" s="5">
        <v>25</v>
      </c>
      <c r="O852">
        <f>(M852*N852)</f>
        <v>50</v>
      </c>
      <c r="P852">
        <f>O852*$S$3</f>
        <v>0.75</v>
      </c>
      <c r="Q852">
        <f>O852*$S$4</f>
        <v>1</v>
      </c>
    </row>
    <row r="853" spans="1:17">
      <c r="A853" s="2">
        <v>852</v>
      </c>
      <c r="B853" s="4">
        <f>DAY(G853)</f>
        <v>12</v>
      </c>
      <c r="C853">
        <f>MONTH(G853)</f>
        <v>10</v>
      </c>
      <c r="D853">
        <f>YEAR(G853)</f>
        <v>2023</v>
      </c>
      <c r="E853" t="str">
        <f>TEXT(G853,"DDDD")</f>
        <v>Thursday</v>
      </c>
      <c r="F853" t="str">
        <f>TEXT(G853,"MMMM")</f>
        <v>October</v>
      </c>
      <c r="G853" s="3">
        <v>45211</v>
      </c>
      <c r="H853" s="4" t="s">
        <v>885</v>
      </c>
      <c r="I853" s="4" t="s">
        <v>3</v>
      </c>
      <c r="J853" s="4" t="str">
        <f>IF(K853&lt;30, "Young Adult","Adult")</f>
        <v>Adult</v>
      </c>
      <c r="K853" s="4">
        <v>41</v>
      </c>
      <c r="L853" s="4" t="s">
        <v>7</v>
      </c>
      <c r="M853" s="4">
        <v>1</v>
      </c>
      <c r="N853" s="5">
        <v>300</v>
      </c>
      <c r="O853">
        <f>(M853*N853)</f>
        <v>300</v>
      </c>
      <c r="P853">
        <f>O853*$S$3</f>
        <v>4.5</v>
      </c>
      <c r="Q853">
        <f>O853*$S$4</f>
        <v>6</v>
      </c>
    </row>
    <row r="854" spans="1:17">
      <c r="A854" s="2">
        <v>853</v>
      </c>
      <c r="B854" s="4">
        <f>DAY(G854)</f>
        <v>4</v>
      </c>
      <c r="C854">
        <f>MONTH(G854)</f>
        <v>5</v>
      </c>
      <c r="D854">
        <f>YEAR(G854)</f>
        <v>2023</v>
      </c>
      <c r="E854" t="str">
        <f>TEXT(G854,"DDDD")</f>
        <v>Thursday</v>
      </c>
      <c r="F854" t="str">
        <f>TEXT(G854,"MMMM")</f>
        <v>May</v>
      </c>
      <c r="G854" s="3">
        <v>45050</v>
      </c>
      <c r="H854" s="4" t="s">
        <v>886</v>
      </c>
      <c r="I854" s="4" t="s">
        <v>4</v>
      </c>
      <c r="J854" s="4" t="str">
        <f>IF(K854&lt;30, "Young Adult","Adult")</f>
        <v>Young Adult</v>
      </c>
      <c r="K854" s="4">
        <v>21</v>
      </c>
      <c r="L854" s="4" t="s">
        <v>6</v>
      </c>
      <c r="M854" s="4">
        <v>2</v>
      </c>
      <c r="N854" s="5">
        <v>500</v>
      </c>
      <c r="O854">
        <f>(M854*N854)</f>
        <v>1000</v>
      </c>
      <c r="P854">
        <f>O854*$S$3</f>
        <v>15</v>
      </c>
      <c r="Q854">
        <f>O854*$S$4</f>
        <v>20</v>
      </c>
    </row>
    <row r="855" spans="1:17">
      <c r="A855" s="2">
        <v>854</v>
      </c>
      <c r="B855" s="4">
        <f>DAY(G855)</f>
        <v>20</v>
      </c>
      <c r="C855">
        <f>MONTH(G855)</f>
        <v>12</v>
      </c>
      <c r="D855">
        <f>YEAR(G855)</f>
        <v>2023</v>
      </c>
      <c r="E855" t="str">
        <f>TEXT(G855,"DDDD")</f>
        <v>Wednesday</v>
      </c>
      <c r="F855" t="str">
        <f>TEXT(G855,"MMMM")</f>
        <v>December</v>
      </c>
      <c r="G855" s="3">
        <v>45280</v>
      </c>
      <c r="H855" s="4" t="s">
        <v>887</v>
      </c>
      <c r="I855" s="4" t="s">
        <v>4</v>
      </c>
      <c r="J855" s="4" t="str">
        <f>IF(K855&lt;30, "Young Adult","Adult")</f>
        <v>Young Adult</v>
      </c>
      <c r="K855" s="4">
        <v>29</v>
      </c>
      <c r="L855" s="4" t="s">
        <v>7</v>
      </c>
      <c r="M855" s="4">
        <v>1</v>
      </c>
      <c r="N855" s="5">
        <v>50</v>
      </c>
      <c r="O855">
        <f>(M855*N855)</f>
        <v>50</v>
      </c>
      <c r="P855">
        <f>O855*$S$3</f>
        <v>0.75</v>
      </c>
      <c r="Q855">
        <f>O855*$S$4</f>
        <v>1</v>
      </c>
    </row>
    <row r="856" spans="1:17">
      <c r="A856" s="2">
        <v>855</v>
      </c>
      <c r="B856" s="4">
        <f>DAY(G856)</f>
        <v>1</v>
      </c>
      <c r="C856">
        <f>MONTH(G856)</f>
        <v>9</v>
      </c>
      <c r="D856">
        <f>YEAR(G856)</f>
        <v>2023</v>
      </c>
      <c r="E856" t="str">
        <f>TEXT(G856,"DDDD")</f>
        <v>Friday</v>
      </c>
      <c r="F856" t="str">
        <f>TEXT(G856,"MMMM")</f>
        <v>September</v>
      </c>
      <c r="G856" s="3">
        <v>45170</v>
      </c>
      <c r="H856" s="4" t="s">
        <v>888</v>
      </c>
      <c r="I856" s="4" t="s">
        <v>4</v>
      </c>
      <c r="J856" s="4" t="str">
        <f>IF(K856&lt;30, "Young Adult","Adult")</f>
        <v>Adult</v>
      </c>
      <c r="K856" s="4">
        <v>54</v>
      </c>
      <c r="L856" s="4" t="s">
        <v>6</v>
      </c>
      <c r="M856" s="4">
        <v>1</v>
      </c>
      <c r="N856" s="5">
        <v>25</v>
      </c>
      <c r="O856">
        <f>(M856*N856)</f>
        <v>25</v>
      </c>
      <c r="P856">
        <f>O856*$S$3</f>
        <v>0.375</v>
      </c>
      <c r="Q856">
        <f>O856*$S$4</f>
        <v>0.5</v>
      </c>
    </row>
    <row r="857" spans="1:17">
      <c r="A857" s="2">
        <v>856</v>
      </c>
      <c r="B857" s="4">
        <f>DAY(G857)</f>
        <v>27</v>
      </c>
      <c r="C857">
        <f>MONTH(G857)</f>
        <v>11</v>
      </c>
      <c r="D857">
        <f>YEAR(G857)</f>
        <v>2023</v>
      </c>
      <c r="E857" t="str">
        <f>TEXT(G857,"DDDD")</f>
        <v>Monday</v>
      </c>
      <c r="F857" t="str">
        <f>TEXT(G857,"MMMM")</f>
        <v>November</v>
      </c>
      <c r="G857" s="3">
        <v>45257</v>
      </c>
      <c r="H857" s="4" t="s">
        <v>889</v>
      </c>
      <c r="I857" s="4" t="s">
        <v>4</v>
      </c>
      <c r="J857" s="4" t="str">
        <f>IF(K857&lt;30, "Young Adult","Adult")</f>
        <v>Adult</v>
      </c>
      <c r="K857" s="4">
        <v>54</v>
      </c>
      <c r="L857" s="4" t="s">
        <v>8</v>
      </c>
      <c r="M857" s="4">
        <v>4</v>
      </c>
      <c r="N857" s="5">
        <v>30</v>
      </c>
      <c r="O857">
        <f>(M857*N857)</f>
        <v>120</v>
      </c>
      <c r="P857">
        <f>O857*$S$3</f>
        <v>1.7999999999999998</v>
      </c>
      <c r="Q857">
        <f>O857*$S$4</f>
        <v>2.4</v>
      </c>
    </row>
    <row r="858" spans="1:17">
      <c r="A858" s="2">
        <v>857</v>
      </c>
      <c r="B858" s="4">
        <f>DAY(G858)</f>
        <v>31</v>
      </c>
      <c r="C858">
        <f>MONTH(G858)</f>
        <v>12</v>
      </c>
      <c r="D858">
        <f>YEAR(G858)</f>
        <v>2023</v>
      </c>
      <c r="E858" t="str">
        <f>TEXT(G858,"DDDD")</f>
        <v>Sunday</v>
      </c>
      <c r="F858" t="str">
        <f>TEXT(G858,"MMMM")</f>
        <v>December</v>
      </c>
      <c r="G858" s="3">
        <v>45291</v>
      </c>
      <c r="H858" s="4" t="s">
        <v>890</v>
      </c>
      <c r="I858" s="4" t="s">
        <v>4</v>
      </c>
      <c r="J858" s="4" t="str">
        <f>IF(K858&lt;30, "Young Adult","Adult")</f>
        <v>Adult</v>
      </c>
      <c r="K858" s="4">
        <v>60</v>
      </c>
      <c r="L858" s="4" t="s">
        <v>8</v>
      </c>
      <c r="M858" s="4">
        <v>2</v>
      </c>
      <c r="N858" s="5">
        <v>25</v>
      </c>
      <c r="O858">
        <f>(M858*N858)</f>
        <v>50</v>
      </c>
      <c r="P858">
        <f>O858*$S$3</f>
        <v>0.75</v>
      </c>
      <c r="Q858">
        <f>O858*$S$4</f>
        <v>1</v>
      </c>
    </row>
    <row r="859" spans="1:17">
      <c r="A859" s="2">
        <v>858</v>
      </c>
      <c r="B859" s="4">
        <f>DAY(G859)</f>
        <v>9</v>
      </c>
      <c r="C859">
        <f>MONTH(G859)</f>
        <v>9</v>
      </c>
      <c r="D859">
        <f>YEAR(G859)</f>
        <v>2023</v>
      </c>
      <c r="E859" t="str">
        <f>TEXT(G859,"DDDD")</f>
        <v>Saturday</v>
      </c>
      <c r="F859" t="str">
        <f>TEXT(G859,"MMMM")</f>
        <v>September</v>
      </c>
      <c r="G859" s="3">
        <v>45178</v>
      </c>
      <c r="H859" s="4" t="s">
        <v>891</v>
      </c>
      <c r="I859" s="4" t="s">
        <v>4</v>
      </c>
      <c r="J859" s="4" t="str">
        <f>IF(K859&lt;30, "Young Adult","Adult")</f>
        <v>Young Adult</v>
      </c>
      <c r="K859" s="4">
        <v>23</v>
      </c>
      <c r="L859" s="4" t="s">
        <v>8</v>
      </c>
      <c r="M859" s="4">
        <v>2</v>
      </c>
      <c r="N859" s="5">
        <v>50</v>
      </c>
      <c r="O859">
        <f>(M859*N859)</f>
        <v>100</v>
      </c>
      <c r="P859">
        <f>O859*$S$3</f>
        <v>1.5</v>
      </c>
      <c r="Q859">
        <f>O859*$S$4</f>
        <v>2</v>
      </c>
    </row>
    <row r="860" spans="1:17">
      <c r="A860" s="2">
        <v>859</v>
      </c>
      <c r="B860" s="4">
        <f>DAY(G860)</f>
        <v>18</v>
      </c>
      <c r="C860">
        <f>MONTH(G860)</f>
        <v>8</v>
      </c>
      <c r="D860">
        <f>YEAR(G860)</f>
        <v>2023</v>
      </c>
      <c r="E860" t="str">
        <f>TEXT(G860,"DDDD")</f>
        <v>Friday</v>
      </c>
      <c r="F860" t="str">
        <f>TEXT(G860,"MMMM")</f>
        <v>August</v>
      </c>
      <c r="G860" s="3">
        <v>45156</v>
      </c>
      <c r="H860" s="4" t="s">
        <v>892</v>
      </c>
      <c r="I860" s="4" t="s">
        <v>3</v>
      </c>
      <c r="J860" s="4" t="str">
        <f>IF(K860&lt;30, "Young Adult","Adult")</f>
        <v>Adult</v>
      </c>
      <c r="K860" s="4">
        <v>56</v>
      </c>
      <c r="L860" s="4" t="s">
        <v>8</v>
      </c>
      <c r="M860" s="4">
        <v>3</v>
      </c>
      <c r="N860" s="5">
        <v>500</v>
      </c>
      <c r="O860">
        <f>(M860*N860)</f>
        <v>1500</v>
      </c>
      <c r="P860">
        <f>O860*$S$3</f>
        <v>22.5</v>
      </c>
      <c r="Q860">
        <f>O860*$S$4</f>
        <v>30</v>
      </c>
    </row>
    <row r="861" spans="1:17">
      <c r="A861" s="2">
        <v>860</v>
      </c>
      <c r="B861" s="4">
        <f>DAY(G861)</f>
        <v>9</v>
      </c>
      <c r="C861">
        <f>MONTH(G861)</f>
        <v>1</v>
      </c>
      <c r="D861">
        <f>YEAR(G861)</f>
        <v>2023</v>
      </c>
      <c r="E861" t="str">
        <f>TEXT(G861,"DDDD")</f>
        <v>Monday</v>
      </c>
      <c r="F861" t="str">
        <f>TEXT(G861,"MMMM")</f>
        <v>January</v>
      </c>
      <c r="G861" s="3">
        <v>44935</v>
      </c>
      <c r="H861" s="4" t="s">
        <v>893</v>
      </c>
      <c r="I861" s="4" t="s">
        <v>4</v>
      </c>
      <c r="J861" s="4" t="str">
        <f>IF(K861&lt;30, "Young Adult","Adult")</f>
        <v>Adult</v>
      </c>
      <c r="K861" s="4">
        <v>63</v>
      </c>
      <c r="L861" s="4" t="s">
        <v>7</v>
      </c>
      <c r="M861" s="4">
        <v>4</v>
      </c>
      <c r="N861" s="5">
        <v>50</v>
      </c>
      <c r="O861">
        <f>(M861*N861)</f>
        <v>200</v>
      </c>
      <c r="P861">
        <f>O861*$S$3</f>
        <v>3</v>
      </c>
      <c r="Q861">
        <f>O861*$S$4</f>
        <v>4</v>
      </c>
    </row>
    <row r="862" spans="1:17">
      <c r="A862" s="2">
        <v>861</v>
      </c>
      <c r="B862" s="4">
        <f>DAY(G862)</f>
        <v>17</v>
      </c>
      <c r="C862">
        <f>MONTH(G862)</f>
        <v>2</v>
      </c>
      <c r="D862">
        <f>YEAR(G862)</f>
        <v>2023</v>
      </c>
      <c r="E862" t="str">
        <f>TEXT(G862,"DDDD")</f>
        <v>Friday</v>
      </c>
      <c r="F862" t="str">
        <f>TEXT(G862,"MMMM")</f>
        <v>February</v>
      </c>
      <c r="G862" s="3">
        <v>44974</v>
      </c>
      <c r="H862" s="4" t="s">
        <v>894</v>
      </c>
      <c r="I862" s="4" t="s">
        <v>3</v>
      </c>
      <c r="J862" s="4" t="str">
        <f>IF(K862&lt;30, "Young Adult","Adult")</f>
        <v>Adult</v>
      </c>
      <c r="K862" s="4">
        <v>41</v>
      </c>
      <c r="L862" s="4" t="s">
        <v>7</v>
      </c>
      <c r="M862" s="4">
        <v>3</v>
      </c>
      <c r="N862" s="5">
        <v>30</v>
      </c>
      <c r="O862">
        <f>(M862*N862)</f>
        <v>90</v>
      </c>
      <c r="P862">
        <f>O862*$S$3</f>
        <v>1.3499999999999999</v>
      </c>
      <c r="Q862">
        <f>O862*$S$4</f>
        <v>1.8</v>
      </c>
    </row>
    <row r="863" spans="1:17">
      <c r="A863" s="2">
        <v>862</v>
      </c>
      <c r="B863" s="4">
        <f>DAY(G863)</f>
        <v>31</v>
      </c>
      <c r="C863">
        <f>MONTH(G863)</f>
        <v>5</v>
      </c>
      <c r="D863">
        <f>YEAR(G863)</f>
        <v>2023</v>
      </c>
      <c r="E863" t="str">
        <f>TEXT(G863,"DDDD")</f>
        <v>Wednesday</v>
      </c>
      <c r="F863" t="str">
        <f>TEXT(G863,"MMMM")</f>
        <v>May</v>
      </c>
      <c r="G863" s="3">
        <v>45077</v>
      </c>
      <c r="H863" s="4" t="s">
        <v>895</v>
      </c>
      <c r="I863" s="4" t="s">
        <v>4</v>
      </c>
      <c r="J863" s="4" t="str">
        <f>IF(K863&lt;30, "Young Adult","Adult")</f>
        <v>Young Adult</v>
      </c>
      <c r="K863" s="4">
        <v>28</v>
      </c>
      <c r="L863" s="4" t="s">
        <v>8</v>
      </c>
      <c r="M863" s="4">
        <v>4</v>
      </c>
      <c r="N863" s="5">
        <v>300</v>
      </c>
      <c r="O863">
        <f>(M863*N863)</f>
        <v>1200</v>
      </c>
      <c r="P863">
        <f>O863*$S$3</f>
        <v>18</v>
      </c>
      <c r="Q863">
        <f>O863*$S$4</f>
        <v>24</v>
      </c>
    </row>
    <row r="864" spans="1:17">
      <c r="A864" s="2">
        <v>863</v>
      </c>
      <c r="B864" s="4">
        <f>DAY(G864)</f>
        <v>24</v>
      </c>
      <c r="C864">
        <f>MONTH(G864)</f>
        <v>4</v>
      </c>
      <c r="D864">
        <f>YEAR(G864)</f>
        <v>2023</v>
      </c>
      <c r="E864" t="str">
        <f>TEXT(G864,"DDDD")</f>
        <v>Monday</v>
      </c>
      <c r="F864" t="str">
        <f>TEXT(G864,"MMMM")</f>
        <v>April</v>
      </c>
      <c r="G864" s="3">
        <v>45040</v>
      </c>
      <c r="H864" s="4" t="s">
        <v>896</v>
      </c>
      <c r="I864" s="4" t="s">
        <v>3</v>
      </c>
      <c r="J864" s="4" t="str">
        <f>IF(K864&lt;30, "Young Adult","Adult")</f>
        <v>Adult</v>
      </c>
      <c r="K864" s="4">
        <v>30</v>
      </c>
      <c r="L864" s="4" t="s">
        <v>8</v>
      </c>
      <c r="M864" s="4">
        <v>2</v>
      </c>
      <c r="N864" s="5">
        <v>25</v>
      </c>
      <c r="O864">
        <f>(M864*N864)</f>
        <v>50</v>
      </c>
      <c r="P864">
        <f>O864*$S$3</f>
        <v>0.75</v>
      </c>
      <c r="Q864">
        <f>O864*$S$4</f>
        <v>1</v>
      </c>
    </row>
    <row r="865" spans="1:17">
      <c r="A865" s="2">
        <v>864</v>
      </c>
      <c r="B865" s="4">
        <f>DAY(G865)</f>
        <v>27</v>
      </c>
      <c r="C865">
        <f>MONTH(G865)</f>
        <v>7</v>
      </c>
      <c r="D865">
        <f>YEAR(G865)</f>
        <v>2023</v>
      </c>
      <c r="E865" t="str">
        <f>TEXT(G865,"DDDD")</f>
        <v>Thursday</v>
      </c>
      <c r="F865" t="str">
        <f>TEXT(G865,"MMMM")</f>
        <v>July</v>
      </c>
      <c r="G865" s="3">
        <v>45134</v>
      </c>
      <c r="H865" s="4" t="s">
        <v>897</v>
      </c>
      <c r="I865" s="4" t="s">
        <v>3</v>
      </c>
      <c r="J865" s="4" t="str">
        <f>IF(K865&lt;30, "Young Adult","Adult")</f>
        <v>Adult</v>
      </c>
      <c r="K865" s="4">
        <v>51</v>
      </c>
      <c r="L865" s="4" t="s">
        <v>8</v>
      </c>
      <c r="M865" s="4">
        <v>1</v>
      </c>
      <c r="N865" s="5">
        <v>500</v>
      </c>
      <c r="O865">
        <f>(M865*N865)</f>
        <v>500</v>
      </c>
      <c r="P865">
        <f>O865*$S$3</f>
        <v>7.5</v>
      </c>
      <c r="Q865">
        <f>O865*$S$4</f>
        <v>10</v>
      </c>
    </row>
    <row r="866" spans="1:17">
      <c r="A866" s="2">
        <v>865</v>
      </c>
      <c r="B866" s="4">
        <f>DAY(G866)</f>
        <v>21</v>
      </c>
      <c r="C866">
        <f>MONTH(G866)</f>
        <v>12</v>
      </c>
      <c r="D866">
        <f>YEAR(G866)</f>
        <v>2023</v>
      </c>
      <c r="E866" t="str">
        <f>TEXT(G866,"DDDD")</f>
        <v>Thursday</v>
      </c>
      <c r="F866" t="str">
        <f>TEXT(G866,"MMMM")</f>
        <v>December</v>
      </c>
      <c r="G866" s="3">
        <v>45281</v>
      </c>
      <c r="H866" s="4" t="s">
        <v>898</v>
      </c>
      <c r="I866" s="4" t="s">
        <v>3</v>
      </c>
      <c r="J866" s="4" t="str">
        <f>IF(K866&lt;30, "Young Adult","Adult")</f>
        <v>Adult</v>
      </c>
      <c r="K866" s="4">
        <v>42</v>
      </c>
      <c r="L866" s="4" t="s">
        <v>7</v>
      </c>
      <c r="M866" s="4">
        <v>1</v>
      </c>
      <c r="N866" s="5">
        <v>300</v>
      </c>
      <c r="O866">
        <f>(M866*N866)</f>
        <v>300</v>
      </c>
      <c r="P866">
        <f>O866*$S$3</f>
        <v>4.5</v>
      </c>
      <c r="Q866">
        <f>O866*$S$4</f>
        <v>6</v>
      </c>
    </row>
    <row r="867" spans="1:17">
      <c r="A867" s="2">
        <v>866</v>
      </c>
      <c r="B867" s="4">
        <f>DAY(G867)</f>
        <v>5</v>
      </c>
      <c r="C867">
        <f>MONTH(G867)</f>
        <v>5</v>
      </c>
      <c r="D867">
        <f>YEAR(G867)</f>
        <v>2023</v>
      </c>
      <c r="E867" t="str">
        <f>TEXT(G867,"DDDD")</f>
        <v>Friday</v>
      </c>
      <c r="F867" t="str">
        <f>TEXT(G867,"MMMM")</f>
        <v>May</v>
      </c>
      <c r="G867" s="3">
        <v>45051</v>
      </c>
      <c r="H867" s="4" t="s">
        <v>899</v>
      </c>
      <c r="I867" s="4" t="s">
        <v>4</v>
      </c>
      <c r="J867" s="4" t="str">
        <f>IF(K867&lt;30, "Young Adult","Adult")</f>
        <v>Young Adult</v>
      </c>
      <c r="K867" s="4">
        <v>24</v>
      </c>
      <c r="L867" s="4" t="s">
        <v>8</v>
      </c>
      <c r="M867" s="4">
        <v>1</v>
      </c>
      <c r="N867" s="5">
        <v>50</v>
      </c>
      <c r="O867">
        <f>(M867*N867)</f>
        <v>50</v>
      </c>
      <c r="P867">
        <f>O867*$S$3</f>
        <v>0.75</v>
      </c>
      <c r="Q867">
        <f>O867*$S$4</f>
        <v>1</v>
      </c>
    </row>
    <row r="868" spans="1:17">
      <c r="A868" s="2">
        <v>867</v>
      </c>
      <c r="B868" s="4">
        <f>DAY(G868)</f>
        <v>6</v>
      </c>
      <c r="C868">
        <f>MONTH(G868)</f>
        <v>6</v>
      </c>
      <c r="D868">
        <f>YEAR(G868)</f>
        <v>2023</v>
      </c>
      <c r="E868" t="str">
        <f>TEXT(G868,"DDDD")</f>
        <v>Tuesday</v>
      </c>
      <c r="F868" t="str">
        <f>TEXT(G868,"MMMM")</f>
        <v>June</v>
      </c>
      <c r="G868" s="3">
        <v>45083</v>
      </c>
      <c r="H868" s="4" t="s">
        <v>900</v>
      </c>
      <c r="I868" s="4" t="s">
        <v>4</v>
      </c>
      <c r="J868" s="4" t="str">
        <f>IF(K868&lt;30, "Young Adult","Adult")</f>
        <v>Young Adult</v>
      </c>
      <c r="K868" s="4">
        <v>21</v>
      </c>
      <c r="L868" s="4" t="s">
        <v>8</v>
      </c>
      <c r="M868" s="4">
        <v>1</v>
      </c>
      <c r="N868" s="5">
        <v>500</v>
      </c>
      <c r="O868">
        <f>(M868*N868)</f>
        <v>500</v>
      </c>
      <c r="P868">
        <f>O868*$S$3</f>
        <v>7.5</v>
      </c>
      <c r="Q868">
        <f>O868*$S$4</f>
        <v>10</v>
      </c>
    </row>
    <row r="869" spans="1:17">
      <c r="A869" s="2">
        <v>868</v>
      </c>
      <c r="B869" s="4">
        <f>DAY(G869)</f>
        <v>6</v>
      </c>
      <c r="C869">
        <f>MONTH(G869)</f>
        <v>12</v>
      </c>
      <c r="D869">
        <f>YEAR(G869)</f>
        <v>2023</v>
      </c>
      <c r="E869" t="str">
        <f>TEXT(G869,"DDDD")</f>
        <v>Wednesday</v>
      </c>
      <c r="F869" t="str">
        <f>TEXT(G869,"MMMM")</f>
        <v>December</v>
      </c>
      <c r="G869" s="3">
        <v>45266</v>
      </c>
      <c r="H869" s="4" t="s">
        <v>901</v>
      </c>
      <c r="I869" s="4" t="s">
        <v>3</v>
      </c>
      <c r="J869" s="4" t="str">
        <f>IF(K869&lt;30, "Young Adult","Adult")</f>
        <v>Young Adult</v>
      </c>
      <c r="K869" s="4">
        <v>25</v>
      </c>
      <c r="L869" s="4" t="s">
        <v>8</v>
      </c>
      <c r="M869" s="4">
        <v>1</v>
      </c>
      <c r="N869" s="5">
        <v>300</v>
      </c>
      <c r="O869">
        <f>(M869*N869)</f>
        <v>300</v>
      </c>
      <c r="P869">
        <f>O869*$S$3</f>
        <v>4.5</v>
      </c>
      <c r="Q869">
        <f>O869*$S$4</f>
        <v>6</v>
      </c>
    </row>
    <row r="870" spans="1:17">
      <c r="A870" s="2">
        <v>869</v>
      </c>
      <c r="B870" s="4">
        <f>DAY(G870)</f>
        <v>25</v>
      </c>
      <c r="C870">
        <f>MONTH(G870)</f>
        <v>10</v>
      </c>
      <c r="D870">
        <f>YEAR(G870)</f>
        <v>2023</v>
      </c>
      <c r="E870" t="str">
        <f>TEXT(G870,"DDDD")</f>
        <v>Wednesday</v>
      </c>
      <c r="F870" t="str">
        <f>TEXT(G870,"MMMM")</f>
        <v>October</v>
      </c>
      <c r="G870" s="3">
        <v>45224</v>
      </c>
      <c r="H870" s="4" t="s">
        <v>902</v>
      </c>
      <c r="I870" s="4" t="s">
        <v>4</v>
      </c>
      <c r="J870" s="4" t="str">
        <f>IF(K870&lt;30, "Young Adult","Adult")</f>
        <v>Adult</v>
      </c>
      <c r="K870" s="4">
        <v>37</v>
      </c>
      <c r="L870" s="4" t="s">
        <v>6</v>
      </c>
      <c r="M870" s="4">
        <v>3</v>
      </c>
      <c r="N870" s="5">
        <v>500</v>
      </c>
      <c r="O870">
        <f>(M870*N870)</f>
        <v>1500</v>
      </c>
      <c r="P870">
        <f>O870*$S$3</f>
        <v>22.5</v>
      </c>
      <c r="Q870">
        <f>O870*$S$4</f>
        <v>30</v>
      </c>
    </row>
    <row r="871" spans="1:17">
      <c r="A871" s="2">
        <v>870</v>
      </c>
      <c r="B871" s="4">
        <f>DAY(G871)</f>
        <v>8</v>
      </c>
      <c r="C871">
        <f>MONTH(G871)</f>
        <v>7</v>
      </c>
      <c r="D871">
        <f>YEAR(G871)</f>
        <v>2023</v>
      </c>
      <c r="E871" t="str">
        <f>TEXT(G871,"DDDD")</f>
        <v>Saturday</v>
      </c>
      <c r="F871" t="str">
        <f>TEXT(G871,"MMMM")</f>
        <v>July</v>
      </c>
      <c r="G871" s="3">
        <v>45115</v>
      </c>
      <c r="H871" s="4" t="s">
        <v>903</v>
      </c>
      <c r="I871" s="4" t="s">
        <v>3</v>
      </c>
      <c r="J871" s="4" t="str">
        <f>IF(K871&lt;30, "Young Adult","Adult")</f>
        <v>Adult</v>
      </c>
      <c r="K871" s="4">
        <v>46</v>
      </c>
      <c r="L871" s="4" t="s">
        <v>8</v>
      </c>
      <c r="M871" s="4">
        <v>4</v>
      </c>
      <c r="N871" s="5">
        <v>30</v>
      </c>
      <c r="O871">
        <f>(M871*N871)</f>
        <v>120</v>
      </c>
      <c r="P871">
        <f>O871*$S$3</f>
        <v>1.7999999999999998</v>
      </c>
      <c r="Q871">
        <f>O871*$S$4</f>
        <v>2.4</v>
      </c>
    </row>
    <row r="872" spans="1:17">
      <c r="A872" s="2">
        <v>871</v>
      </c>
      <c r="B872" s="4">
        <f>DAY(G872)</f>
        <v>31</v>
      </c>
      <c r="C872">
        <f>MONTH(G872)</f>
        <v>8</v>
      </c>
      <c r="D872">
        <f>YEAR(G872)</f>
        <v>2023</v>
      </c>
      <c r="E872" t="str">
        <f>TEXT(G872,"DDDD")</f>
        <v>Thursday</v>
      </c>
      <c r="F872" t="str">
        <f>TEXT(G872,"MMMM")</f>
        <v>August</v>
      </c>
      <c r="G872" s="3">
        <v>45169</v>
      </c>
      <c r="H872" s="4" t="s">
        <v>904</v>
      </c>
      <c r="I872" s="4" t="s">
        <v>4</v>
      </c>
      <c r="J872" s="4" t="str">
        <f>IF(K872&lt;30, "Young Adult","Adult")</f>
        <v>Adult</v>
      </c>
      <c r="K872" s="4">
        <v>62</v>
      </c>
      <c r="L872" s="4" t="s">
        <v>6</v>
      </c>
      <c r="M872" s="4">
        <v>2</v>
      </c>
      <c r="N872" s="5">
        <v>30</v>
      </c>
      <c r="O872">
        <f>(M872*N872)</f>
        <v>60</v>
      </c>
      <c r="P872">
        <f>O872*$S$3</f>
        <v>0.89999999999999991</v>
      </c>
      <c r="Q872">
        <f>O872*$S$4</f>
        <v>1.2</v>
      </c>
    </row>
    <row r="873" spans="1:17">
      <c r="A873" s="2">
        <v>872</v>
      </c>
      <c r="B873" s="4">
        <f>DAY(G873)</f>
        <v>11</v>
      </c>
      <c r="C873">
        <f>MONTH(G873)</f>
        <v>10</v>
      </c>
      <c r="D873">
        <f>YEAR(G873)</f>
        <v>2023</v>
      </c>
      <c r="E873" t="str">
        <f>TEXT(G873,"DDDD")</f>
        <v>Wednesday</v>
      </c>
      <c r="F873" t="str">
        <f>TEXT(G873,"MMMM")</f>
        <v>October</v>
      </c>
      <c r="G873" s="3">
        <v>45210</v>
      </c>
      <c r="H873" s="4" t="s">
        <v>905</v>
      </c>
      <c r="I873" s="4" t="s">
        <v>3</v>
      </c>
      <c r="J873" s="4" t="str">
        <f>IF(K873&lt;30, "Young Adult","Adult")</f>
        <v>Adult</v>
      </c>
      <c r="K873" s="4">
        <v>63</v>
      </c>
      <c r="L873" s="4" t="s">
        <v>6</v>
      </c>
      <c r="M873" s="4">
        <v>3</v>
      </c>
      <c r="N873" s="5">
        <v>25</v>
      </c>
      <c r="O873">
        <f>(M873*N873)</f>
        <v>75</v>
      </c>
      <c r="P873">
        <f>O873*$S$3</f>
        <v>1.125</v>
      </c>
      <c r="Q873">
        <f>O873*$S$4</f>
        <v>1.5</v>
      </c>
    </row>
    <row r="874" spans="1:17">
      <c r="A874" s="2">
        <v>873</v>
      </c>
      <c r="B874" s="4">
        <f>DAY(G874)</f>
        <v>29</v>
      </c>
      <c r="C874">
        <f>MONTH(G874)</f>
        <v>9</v>
      </c>
      <c r="D874">
        <f>YEAR(G874)</f>
        <v>2023</v>
      </c>
      <c r="E874" t="str">
        <f>TEXT(G874,"DDDD")</f>
        <v>Friday</v>
      </c>
      <c r="F874" t="str">
        <f>TEXT(G874,"MMMM")</f>
        <v>September</v>
      </c>
      <c r="G874" s="3">
        <v>45198</v>
      </c>
      <c r="H874" s="4" t="s">
        <v>906</v>
      </c>
      <c r="I874" s="4" t="s">
        <v>3</v>
      </c>
      <c r="J874" s="4" t="str">
        <f>IF(K874&lt;30, "Young Adult","Adult")</f>
        <v>Young Adult</v>
      </c>
      <c r="K874" s="4">
        <v>27</v>
      </c>
      <c r="L874" s="4" t="s">
        <v>8</v>
      </c>
      <c r="M874" s="4">
        <v>4</v>
      </c>
      <c r="N874" s="5">
        <v>25</v>
      </c>
      <c r="O874">
        <f>(M874*N874)</f>
        <v>100</v>
      </c>
      <c r="P874">
        <f>O874*$S$3</f>
        <v>1.5</v>
      </c>
      <c r="Q874">
        <f>O874*$S$4</f>
        <v>2</v>
      </c>
    </row>
    <row r="875" spans="1:17">
      <c r="A875" s="2">
        <v>874</v>
      </c>
      <c r="B875" s="4">
        <f>DAY(G875)</f>
        <v>26</v>
      </c>
      <c r="C875">
        <f>MONTH(G875)</f>
        <v>6</v>
      </c>
      <c r="D875">
        <f>YEAR(G875)</f>
        <v>2023</v>
      </c>
      <c r="E875" t="str">
        <f>TEXT(G875,"DDDD")</f>
        <v>Monday</v>
      </c>
      <c r="F875" t="str">
        <f>TEXT(G875,"MMMM")</f>
        <v>June</v>
      </c>
      <c r="G875" s="3">
        <v>45103</v>
      </c>
      <c r="H875" s="4" t="s">
        <v>907</v>
      </c>
      <c r="I875" s="4" t="s">
        <v>4</v>
      </c>
      <c r="J875" s="4" t="str">
        <f>IF(K875&lt;30, "Young Adult","Adult")</f>
        <v>Adult</v>
      </c>
      <c r="K875" s="4">
        <v>60</v>
      </c>
      <c r="L875" s="4" t="s">
        <v>6</v>
      </c>
      <c r="M875" s="4">
        <v>1</v>
      </c>
      <c r="N875" s="5">
        <v>30</v>
      </c>
      <c r="O875">
        <f>(M875*N875)</f>
        <v>30</v>
      </c>
      <c r="P875">
        <f>O875*$S$3</f>
        <v>0.44999999999999996</v>
      </c>
      <c r="Q875">
        <f>O875*$S$4</f>
        <v>0.6</v>
      </c>
    </row>
    <row r="876" spans="1:17">
      <c r="A876" s="2">
        <v>875</v>
      </c>
      <c r="B876" s="4">
        <f>DAY(G876)</f>
        <v>6</v>
      </c>
      <c r="C876">
        <f>MONTH(G876)</f>
        <v>8</v>
      </c>
      <c r="D876">
        <f>YEAR(G876)</f>
        <v>2023</v>
      </c>
      <c r="E876" t="str">
        <f>TEXT(G876,"DDDD")</f>
        <v>Sunday</v>
      </c>
      <c r="F876" t="str">
        <f>TEXT(G876,"MMMM")</f>
        <v>August</v>
      </c>
      <c r="G876" s="3">
        <v>45144</v>
      </c>
      <c r="H876" s="4" t="s">
        <v>908</v>
      </c>
      <c r="I876" s="4" t="s">
        <v>3</v>
      </c>
      <c r="J876" s="4" t="str">
        <f>IF(K876&lt;30, "Young Adult","Adult")</f>
        <v>Adult</v>
      </c>
      <c r="K876" s="4">
        <v>51</v>
      </c>
      <c r="L876" s="4" t="s">
        <v>8</v>
      </c>
      <c r="M876" s="4">
        <v>4</v>
      </c>
      <c r="N876" s="5">
        <v>500</v>
      </c>
      <c r="O876">
        <f>(M876*N876)</f>
        <v>2000</v>
      </c>
      <c r="P876">
        <f>O876*$S$3</f>
        <v>30</v>
      </c>
      <c r="Q876">
        <f>O876*$S$4</f>
        <v>40</v>
      </c>
    </row>
    <row r="877" spans="1:17">
      <c r="A877" s="2">
        <v>876</v>
      </c>
      <c r="B877" s="4">
        <f>DAY(G877)</f>
        <v>9</v>
      </c>
      <c r="C877">
        <f>MONTH(G877)</f>
        <v>10</v>
      </c>
      <c r="D877">
        <f>YEAR(G877)</f>
        <v>2023</v>
      </c>
      <c r="E877" t="str">
        <f>TEXT(G877,"DDDD")</f>
        <v>Monday</v>
      </c>
      <c r="F877" t="str">
        <f>TEXT(G877,"MMMM")</f>
        <v>October</v>
      </c>
      <c r="G877" s="3">
        <v>45208</v>
      </c>
      <c r="H877" s="4" t="s">
        <v>909</v>
      </c>
      <c r="I877" s="4" t="s">
        <v>4</v>
      </c>
      <c r="J877" s="4" t="str">
        <f>IF(K877&lt;30, "Young Adult","Adult")</f>
        <v>Adult</v>
      </c>
      <c r="K877" s="4">
        <v>43</v>
      </c>
      <c r="L877" s="4" t="s">
        <v>7</v>
      </c>
      <c r="M877" s="4">
        <v>4</v>
      </c>
      <c r="N877" s="5">
        <v>30</v>
      </c>
      <c r="O877">
        <f>(M877*N877)</f>
        <v>120</v>
      </c>
      <c r="P877">
        <f>O877*$S$3</f>
        <v>1.7999999999999998</v>
      </c>
      <c r="Q877">
        <f>O877*$S$4</f>
        <v>2.4</v>
      </c>
    </row>
    <row r="878" spans="1:17">
      <c r="A878" s="2">
        <v>877</v>
      </c>
      <c r="B878" s="4">
        <f>DAY(G878)</f>
        <v>19</v>
      </c>
      <c r="C878">
        <f>MONTH(G878)</f>
        <v>6</v>
      </c>
      <c r="D878">
        <f>YEAR(G878)</f>
        <v>2023</v>
      </c>
      <c r="E878" t="str">
        <f>TEXT(G878,"DDDD")</f>
        <v>Monday</v>
      </c>
      <c r="F878" t="str">
        <f>TEXT(G878,"MMMM")</f>
        <v>June</v>
      </c>
      <c r="G878" s="3">
        <v>45096</v>
      </c>
      <c r="H878" s="4" t="s">
        <v>910</v>
      </c>
      <c r="I878" s="4" t="s">
        <v>3</v>
      </c>
      <c r="J878" s="4" t="str">
        <f>IF(K878&lt;30, "Young Adult","Adult")</f>
        <v>Adult</v>
      </c>
      <c r="K878" s="4">
        <v>58</v>
      </c>
      <c r="L878" s="4" t="s">
        <v>7</v>
      </c>
      <c r="M878" s="4">
        <v>1</v>
      </c>
      <c r="N878" s="5">
        <v>25</v>
      </c>
      <c r="O878">
        <f>(M878*N878)</f>
        <v>25</v>
      </c>
      <c r="P878">
        <f>O878*$S$3</f>
        <v>0.375</v>
      </c>
      <c r="Q878">
        <f>O878*$S$4</f>
        <v>0.5</v>
      </c>
    </row>
    <row r="879" spans="1:17">
      <c r="A879" s="2">
        <v>878</v>
      </c>
      <c r="B879" s="4">
        <f>DAY(G879)</f>
        <v>30</v>
      </c>
      <c r="C879">
        <f>MONTH(G879)</f>
        <v>6</v>
      </c>
      <c r="D879">
        <f>YEAR(G879)</f>
        <v>2023</v>
      </c>
      <c r="E879" t="str">
        <f>TEXT(G879,"DDDD")</f>
        <v>Friday</v>
      </c>
      <c r="F879" t="str">
        <f>TEXT(G879,"MMMM")</f>
        <v>June</v>
      </c>
      <c r="G879" s="3">
        <v>45107</v>
      </c>
      <c r="H879" s="4" t="s">
        <v>911</v>
      </c>
      <c r="I879" s="4" t="s">
        <v>3</v>
      </c>
      <c r="J879" s="4" t="str">
        <f>IF(K879&lt;30, "Young Adult","Adult")</f>
        <v>Young Adult</v>
      </c>
      <c r="K879" s="4">
        <v>20</v>
      </c>
      <c r="L879" s="4" t="s">
        <v>7</v>
      </c>
      <c r="M879" s="4">
        <v>1</v>
      </c>
      <c r="N879" s="5">
        <v>30</v>
      </c>
      <c r="O879">
        <f>(M879*N879)</f>
        <v>30</v>
      </c>
      <c r="P879">
        <f>O879*$S$3</f>
        <v>0.44999999999999996</v>
      </c>
      <c r="Q879">
        <f>O879*$S$4</f>
        <v>0.6</v>
      </c>
    </row>
    <row r="880" spans="1:17">
      <c r="A880" s="2">
        <v>879</v>
      </c>
      <c r="B880" s="4">
        <f>DAY(G880)</f>
        <v>26</v>
      </c>
      <c r="C880">
        <f>MONTH(G880)</f>
        <v>12</v>
      </c>
      <c r="D880">
        <f>YEAR(G880)</f>
        <v>2023</v>
      </c>
      <c r="E880" t="str">
        <f>TEXT(G880,"DDDD")</f>
        <v>Tuesday</v>
      </c>
      <c r="F880" t="str">
        <f>TEXT(G880,"MMMM")</f>
        <v>December</v>
      </c>
      <c r="G880" s="3">
        <v>45286</v>
      </c>
      <c r="H880" s="4" t="s">
        <v>912</v>
      </c>
      <c r="I880" s="4" t="s">
        <v>4</v>
      </c>
      <c r="J880" s="4" t="str">
        <f>IF(K880&lt;30, "Young Adult","Adult")</f>
        <v>Young Adult</v>
      </c>
      <c r="K880" s="4">
        <v>23</v>
      </c>
      <c r="L880" s="4" t="s">
        <v>7</v>
      </c>
      <c r="M880" s="4">
        <v>1</v>
      </c>
      <c r="N880" s="5">
        <v>30</v>
      </c>
      <c r="O880">
        <f>(M880*N880)</f>
        <v>30</v>
      </c>
      <c r="P880">
        <f>O880*$S$3</f>
        <v>0.44999999999999996</v>
      </c>
      <c r="Q880">
        <f>O880*$S$4</f>
        <v>0.6</v>
      </c>
    </row>
    <row r="881" spans="1:17">
      <c r="A881" s="2">
        <v>880</v>
      </c>
      <c r="B881" s="4">
        <f>DAY(G881)</f>
        <v>21</v>
      </c>
      <c r="C881">
        <f>MONTH(G881)</f>
        <v>8</v>
      </c>
      <c r="D881">
        <f>YEAR(G881)</f>
        <v>2023</v>
      </c>
      <c r="E881" t="str">
        <f>TEXT(G881,"DDDD")</f>
        <v>Monday</v>
      </c>
      <c r="F881" t="str">
        <f>TEXT(G881,"MMMM")</f>
        <v>August</v>
      </c>
      <c r="G881" s="3">
        <v>45159</v>
      </c>
      <c r="H881" s="4" t="s">
        <v>913</v>
      </c>
      <c r="I881" s="4" t="s">
        <v>4</v>
      </c>
      <c r="J881" s="4" t="str">
        <f>IF(K881&lt;30, "Young Adult","Adult")</f>
        <v>Young Adult</v>
      </c>
      <c r="K881" s="4">
        <v>22</v>
      </c>
      <c r="L881" s="4" t="s">
        <v>6</v>
      </c>
      <c r="M881" s="4">
        <v>2</v>
      </c>
      <c r="N881" s="5">
        <v>500</v>
      </c>
      <c r="O881">
        <f>(M881*N881)</f>
        <v>1000</v>
      </c>
      <c r="P881">
        <f>O881*$S$3</f>
        <v>15</v>
      </c>
      <c r="Q881">
        <f>O881*$S$4</f>
        <v>20</v>
      </c>
    </row>
    <row r="882" spans="1:17">
      <c r="A882" s="2">
        <v>881</v>
      </c>
      <c r="B882" s="4">
        <f>DAY(G882)</f>
        <v>19</v>
      </c>
      <c r="C882">
        <f>MONTH(G882)</f>
        <v>5</v>
      </c>
      <c r="D882">
        <f>YEAR(G882)</f>
        <v>2023</v>
      </c>
      <c r="E882" t="str">
        <f>TEXT(G882,"DDDD")</f>
        <v>Friday</v>
      </c>
      <c r="F882" t="str">
        <f>TEXT(G882,"MMMM")</f>
        <v>May</v>
      </c>
      <c r="G882" s="3">
        <v>45065</v>
      </c>
      <c r="H882" s="4" t="s">
        <v>914</v>
      </c>
      <c r="I882" s="4" t="s">
        <v>4</v>
      </c>
      <c r="J882" s="4" t="str">
        <f>IF(K882&lt;30, "Young Adult","Adult")</f>
        <v>Young Adult</v>
      </c>
      <c r="K882" s="4">
        <v>22</v>
      </c>
      <c r="L882" s="4" t="s">
        <v>8</v>
      </c>
      <c r="M882" s="4">
        <v>1</v>
      </c>
      <c r="N882" s="5">
        <v>300</v>
      </c>
      <c r="O882">
        <f>(M882*N882)</f>
        <v>300</v>
      </c>
      <c r="P882">
        <f>O882*$S$3</f>
        <v>4.5</v>
      </c>
      <c r="Q882">
        <f>O882*$S$4</f>
        <v>6</v>
      </c>
    </row>
    <row r="883" spans="1:17">
      <c r="A883" s="2">
        <v>882</v>
      </c>
      <c r="B883" s="4">
        <f>DAY(G883)</f>
        <v>6</v>
      </c>
      <c r="C883">
        <f>MONTH(G883)</f>
        <v>6</v>
      </c>
      <c r="D883">
        <f>YEAR(G883)</f>
        <v>2023</v>
      </c>
      <c r="E883" t="str">
        <f>TEXT(G883,"DDDD")</f>
        <v>Tuesday</v>
      </c>
      <c r="F883" t="str">
        <f>TEXT(G883,"MMMM")</f>
        <v>June</v>
      </c>
      <c r="G883" s="3">
        <v>45083</v>
      </c>
      <c r="H883" s="4" t="s">
        <v>915</v>
      </c>
      <c r="I883" s="4" t="s">
        <v>3</v>
      </c>
      <c r="J883" s="4" t="str">
        <f>IF(K883&lt;30, "Young Adult","Adult")</f>
        <v>Adult</v>
      </c>
      <c r="K883" s="4">
        <v>64</v>
      </c>
      <c r="L883" s="4" t="s">
        <v>8</v>
      </c>
      <c r="M883" s="4">
        <v>2</v>
      </c>
      <c r="N883" s="5">
        <v>25</v>
      </c>
      <c r="O883">
        <f>(M883*N883)</f>
        <v>50</v>
      </c>
      <c r="P883">
        <f>O883*$S$3</f>
        <v>0.75</v>
      </c>
      <c r="Q883">
        <f>O883*$S$4</f>
        <v>1</v>
      </c>
    </row>
    <row r="884" spans="1:17">
      <c r="A884" s="2">
        <v>883</v>
      </c>
      <c r="B884" s="4">
        <f>DAY(G884)</f>
        <v>9</v>
      </c>
      <c r="C884">
        <f>MONTH(G884)</f>
        <v>5</v>
      </c>
      <c r="D884">
        <f>YEAR(G884)</f>
        <v>2023</v>
      </c>
      <c r="E884" t="str">
        <f>TEXT(G884,"DDDD")</f>
        <v>Tuesday</v>
      </c>
      <c r="F884" t="str">
        <f>TEXT(G884,"MMMM")</f>
        <v>May</v>
      </c>
      <c r="G884" s="3">
        <v>45055</v>
      </c>
      <c r="H884" s="4" t="s">
        <v>916</v>
      </c>
      <c r="I884" s="4" t="s">
        <v>4</v>
      </c>
      <c r="J884" s="4" t="str">
        <f>IF(K884&lt;30, "Young Adult","Adult")</f>
        <v>Adult</v>
      </c>
      <c r="K884" s="4">
        <v>40</v>
      </c>
      <c r="L884" s="4" t="s">
        <v>8</v>
      </c>
      <c r="M884" s="4">
        <v>1</v>
      </c>
      <c r="N884" s="5">
        <v>500</v>
      </c>
      <c r="O884">
        <f>(M884*N884)</f>
        <v>500</v>
      </c>
      <c r="P884">
        <f>O884*$S$3</f>
        <v>7.5</v>
      </c>
      <c r="Q884">
        <f>O884*$S$4</f>
        <v>10</v>
      </c>
    </row>
    <row r="885" spans="1:17">
      <c r="A885" s="2">
        <v>884</v>
      </c>
      <c r="B885" s="4">
        <f>DAY(G885)</f>
        <v>29</v>
      </c>
      <c r="C885">
        <f>MONTH(G885)</f>
        <v>4</v>
      </c>
      <c r="D885">
        <f>YEAR(G885)</f>
        <v>2023</v>
      </c>
      <c r="E885" t="str">
        <f>TEXT(G885,"DDDD")</f>
        <v>Saturday</v>
      </c>
      <c r="F885" t="str">
        <f>TEXT(G885,"MMMM")</f>
        <v>April</v>
      </c>
      <c r="G885" s="3">
        <v>45045</v>
      </c>
      <c r="H885" s="4" t="s">
        <v>917</v>
      </c>
      <c r="I885" s="4" t="s">
        <v>3</v>
      </c>
      <c r="J885" s="4" t="str">
        <f>IF(K885&lt;30, "Young Adult","Adult")</f>
        <v>Young Adult</v>
      </c>
      <c r="K885" s="4">
        <v>26</v>
      </c>
      <c r="L885" s="4" t="s">
        <v>7</v>
      </c>
      <c r="M885" s="4">
        <v>2</v>
      </c>
      <c r="N885" s="5">
        <v>30</v>
      </c>
      <c r="O885">
        <f>(M885*N885)</f>
        <v>60</v>
      </c>
      <c r="P885">
        <f>O885*$S$3</f>
        <v>0.89999999999999991</v>
      </c>
      <c r="Q885">
        <f>O885*$S$4</f>
        <v>1.2</v>
      </c>
    </row>
    <row r="886" spans="1:17">
      <c r="A886" s="2">
        <v>885</v>
      </c>
      <c r="B886" s="4">
        <f>DAY(G886)</f>
        <v>3</v>
      </c>
      <c r="C886">
        <f>MONTH(G886)</f>
        <v>3</v>
      </c>
      <c r="D886">
        <f>YEAR(G886)</f>
        <v>2023</v>
      </c>
      <c r="E886" t="str">
        <f>TEXT(G886,"DDDD")</f>
        <v>Friday</v>
      </c>
      <c r="F886" t="str">
        <f>TEXT(G886,"MMMM")</f>
        <v>March</v>
      </c>
      <c r="G886" s="3">
        <v>44988</v>
      </c>
      <c r="H886" s="4" t="s">
        <v>918</v>
      </c>
      <c r="I886" s="4" t="s">
        <v>3</v>
      </c>
      <c r="J886" s="4" t="str">
        <f>IF(K886&lt;30, "Young Adult","Adult")</f>
        <v>Adult</v>
      </c>
      <c r="K886" s="4">
        <v>52</v>
      </c>
      <c r="L886" s="4" t="s">
        <v>7</v>
      </c>
      <c r="M886" s="4">
        <v>4</v>
      </c>
      <c r="N886" s="5">
        <v>30</v>
      </c>
      <c r="O886">
        <f>(M886*N886)</f>
        <v>120</v>
      </c>
      <c r="P886">
        <f>O886*$S$3</f>
        <v>1.7999999999999998</v>
      </c>
      <c r="Q886">
        <f>O886*$S$4</f>
        <v>2.4</v>
      </c>
    </row>
    <row r="887" spans="1:17">
      <c r="A887" s="2">
        <v>886</v>
      </c>
      <c r="B887" s="4">
        <f>DAY(G887)</f>
        <v>9</v>
      </c>
      <c r="C887">
        <f>MONTH(G887)</f>
        <v>4</v>
      </c>
      <c r="D887">
        <f>YEAR(G887)</f>
        <v>2023</v>
      </c>
      <c r="E887" t="str">
        <f>TEXT(G887,"DDDD")</f>
        <v>Sunday</v>
      </c>
      <c r="F887" t="str">
        <f>TEXT(G887,"MMMM")</f>
        <v>April</v>
      </c>
      <c r="G887" s="3">
        <v>45025</v>
      </c>
      <c r="H887" s="4" t="s">
        <v>919</v>
      </c>
      <c r="I887" s="4" t="s">
        <v>4</v>
      </c>
      <c r="J887" s="4" t="str">
        <f>IF(K887&lt;30, "Young Adult","Adult")</f>
        <v>Adult</v>
      </c>
      <c r="K887" s="4">
        <v>37</v>
      </c>
      <c r="L887" s="4" t="s">
        <v>8</v>
      </c>
      <c r="M887" s="4">
        <v>3</v>
      </c>
      <c r="N887" s="5">
        <v>300</v>
      </c>
      <c r="O887">
        <f>(M887*N887)</f>
        <v>900</v>
      </c>
      <c r="P887">
        <f>O887*$S$3</f>
        <v>13.5</v>
      </c>
      <c r="Q887">
        <f>O887*$S$4</f>
        <v>18</v>
      </c>
    </row>
    <row r="888" spans="1:17">
      <c r="A888" s="2">
        <v>887</v>
      </c>
      <c r="B888" s="4">
        <f>DAY(G888)</f>
        <v>11</v>
      </c>
      <c r="C888">
        <f>MONTH(G888)</f>
        <v>6</v>
      </c>
      <c r="D888">
        <f>YEAR(G888)</f>
        <v>2023</v>
      </c>
      <c r="E888" t="str">
        <f>TEXT(G888,"DDDD")</f>
        <v>Sunday</v>
      </c>
      <c r="F888" t="str">
        <f>TEXT(G888,"MMMM")</f>
        <v>June</v>
      </c>
      <c r="G888" s="3">
        <v>45088</v>
      </c>
      <c r="H888" s="4" t="s">
        <v>920</v>
      </c>
      <c r="I888" s="4" t="s">
        <v>4</v>
      </c>
      <c r="J888" s="4" t="str">
        <f>IF(K888&lt;30, "Young Adult","Adult")</f>
        <v>Adult</v>
      </c>
      <c r="K888" s="4">
        <v>59</v>
      </c>
      <c r="L888" s="4" t="s">
        <v>7</v>
      </c>
      <c r="M888" s="4">
        <v>4</v>
      </c>
      <c r="N888" s="5">
        <v>25</v>
      </c>
      <c r="O888">
        <f>(M888*N888)</f>
        <v>100</v>
      </c>
      <c r="P888">
        <f>O888*$S$3</f>
        <v>1.5</v>
      </c>
      <c r="Q888">
        <f>O888*$S$4</f>
        <v>2</v>
      </c>
    </row>
    <row r="889" spans="1:17">
      <c r="A889" s="2">
        <v>888</v>
      </c>
      <c r="B889" s="4">
        <f>DAY(G889)</f>
        <v>3</v>
      </c>
      <c r="C889">
        <f>MONTH(G889)</f>
        <v>3</v>
      </c>
      <c r="D889">
        <f>YEAR(G889)</f>
        <v>2023</v>
      </c>
      <c r="E889" t="str">
        <f>TEXT(G889,"DDDD")</f>
        <v>Friday</v>
      </c>
      <c r="F889" t="str">
        <f>TEXT(G889,"MMMM")</f>
        <v>March</v>
      </c>
      <c r="G889" s="3">
        <v>44988</v>
      </c>
      <c r="H889" s="4" t="s">
        <v>921</v>
      </c>
      <c r="I889" s="4" t="s">
        <v>3</v>
      </c>
      <c r="J889" s="4" t="str">
        <f>IF(K889&lt;30, "Young Adult","Adult")</f>
        <v>Adult</v>
      </c>
      <c r="K889" s="4">
        <v>52</v>
      </c>
      <c r="L889" s="4" t="s">
        <v>8</v>
      </c>
      <c r="M889" s="4">
        <v>4</v>
      </c>
      <c r="N889" s="5">
        <v>25</v>
      </c>
      <c r="O889">
        <f>(M889*N889)</f>
        <v>100</v>
      </c>
      <c r="P889">
        <f>O889*$S$3</f>
        <v>1.5</v>
      </c>
      <c r="Q889">
        <f>O889*$S$4</f>
        <v>2</v>
      </c>
    </row>
    <row r="890" spans="1:17">
      <c r="A890" s="2">
        <v>889</v>
      </c>
      <c r="B890" s="4">
        <f>DAY(G890)</f>
        <v>2</v>
      </c>
      <c r="C890">
        <f>MONTH(G890)</f>
        <v>10</v>
      </c>
      <c r="D890">
        <f>YEAR(G890)</f>
        <v>2023</v>
      </c>
      <c r="E890" t="str">
        <f>TEXT(G890,"DDDD")</f>
        <v>Monday</v>
      </c>
      <c r="F890" t="str">
        <f>TEXT(G890,"MMMM")</f>
        <v>October</v>
      </c>
      <c r="G890" s="3">
        <v>45201</v>
      </c>
      <c r="H890" s="4" t="s">
        <v>922</v>
      </c>
      <c r="I890" s="4" t="s">
        <v>3</v>
      </c>
      <c r="J890" s="4" t="str">
        <f>IF(K890&lt;30, "Young Adult","Adult")</f>
        <v>Adult</v>
      </c>
      <c r="K890" s="4">
        <v>35</v>
      </c>
      <c r="L890" s="4" t="s">
        <v>8</v>
      </c>
      <c r="M890" s="4">
        <v>1</v>
      </c>
      <c r="N890" s="5">
        <v>50</v>
      </c>
      <c r="O890">
        <f>(M890*N890)</f>
        <v>50</v>
      </c>
      <c r="P890">
        <f>O890*$S$3</f>
        <v>0.75</v>
      </c>
      <c r="Q890">
        <f>O890*$S$4</f>
        <v>1</v>
      </c>
    </row>
    <row r="891" spans="1:17">
      <c r="A891" s="2">
        <v>890</v>
      </c>
      <c r="B891" s="4">
        <f>DAY(G891)</f>
        <v>20</v>
      </c>
      <c r="C891">
        <f>MONTH(G891)</f>
        <v>12</v>
      </c>
      <c r="D891">
        <f>YEAR(G891)</f>
        <v>2023</v>
      </c>
      <c r="E891" t="str">
        <f>TEXT(G891,"DDDD")</f>
        <v>Wednesday</v>
      </c>
      <c r="F891" t="str">
        <f>TEXT(G891,"MMMM")</f>
        <v>December</v>
      </c>
      <c r="G891" s="3">
        <v>45280</v>
      </c>
      <c r="H891" s="4" t="s">
        <v>923</v>
      </c>
      <c r="I891" s="4" t="s">
        <v>4</v>
      </c>
      <c r="J891" s="4" t="str">
        <f>IF(K891&lt;30, "Young Adult","Adult")</f>
        <v>Adult</v>
      </c>
      <c r="K891" s="4">
        <v>34</v>
      </c>
      <c r="L891" s="4" t="s">
        <v>8</v>
      </c>
      <c r="M891" s="4">
        <v>2</v>
      </c>
      <c r="N891" s="5">
        <v>25</v>
      </c>
      <c r="O891">
        <f>(M891*N891)</f>
        <v>50</v>
      </c>
      <c r="P891">
        <f>O891*$S$3</f>
        <v>0.75</v>
      </c>
      <c r="Q891">
        <f>O891*$S$4</f>
        <v>1</v>
      </c>
    </row>
    <row r="892" spans="1:17">
      <c r="A892" s="2">
        <v>891</v>
      </c>
      <c r="B892" s="4">
        <f>DAY(G892)</f>
        <v>5</v>
      </c>
      <c r="C892">
        <f>MONTH(G892)</f>
        <v>4</v>
      </c>
      <c r="D892">
        <f>YEAR(G892)</f>
        <v>2023</v>
      </c>
      <c r="E892" t="str">
        <f>TEXT(G892,"DDDD")</f>
        <v>Wednesday</v>
      </c>
      <c r="F892" t="str">
        <f>TEXT(G892,"MMMM")</f>
        <v>April</v>
      </c>
      <c r="G892" s="3">
        <v>45021</v>
      </c>
      <c r="H892" s="4" t="s">
        <v>924</v>
      </c>
      <c r="I892" s="4" t="s">
        <v>4</v>
      </c>
      <c r="J892" s="4" t="str">
        <f>IF(K892&lt;30, "Young Adult","Adult")</f>
        <v>Adult</v>
      </c>
      <c r="K892" s="4">
        <v>41</v>
      </c>
      <c r="L892" s="4" t="s">
        <v>8</v>
      </c>
      <c r="M892" s="4">
        <v>3</v>
      </c>
      <c r="N892" s="5">
        <v>300</v>
      </c>
      <c r="O892">
        <f>(M892*N892)</f>
        <v>900</v>
      </c>
      <c r="P892">
        <f>O892*$S$3</f>
        <v>13.5</v>
      </c>
      <c r="Q892">
        <f>O892*$S$4</f>
        <v>18</v>
      </c>
    </row>
    <row r="893" spans="1:17">
      <c r="A893" s="2">
        <v>892</v>
      </c>
      <c r="B893" s="4">
        <f>DAY(G893)</f>
        <v>9</v>
      </c>
      <c r="C893">
        <f>MONTH(G893)</f>
        <v>4</v>
      </c>
      <c r="D893">
        <f>YEAR(G893)</f>
        <v>2023</v>
      </c>
      <c r="E893" t="str">
        <f>TEXT(G893,"DDDD")</f>
        <v>Sunday</v>
      </c>
      <c r="F893" t="str">
        <f>TEXT(G893,"MMMM")</f>
        <v>April</v>
      </c>
      <c r="G893" s="3">
        <v>45025</v>
      </c>
      <c r="H893" s="4" t="s">
        <v>925</v>
      </c>
      <c r="I893" s="4" t="s">
        <v>4</v>
      </c>
      <c r="J893" s="4" t="str">
        <f>IF(K893&lt;30, "Young Adult","Adult")</f>
        <v>Young Adult</v>
      </c>
      <c r="K893" s="4">
        <v>20</v>
      </c>
      <c r="L893" s="4" t="s">
        <v>8</v>
      </c>
      <c r="M893" s="4">
        <v>1</v>
      </c>
      <c r="N893" s="5">
        <v>50</v>
      </c>
      <c r="O893">
        <f>(M893*N893)</f>
        <v>50</v>
      </c>
      <c r="P893">
        <f>O893*$S$3</f>
        <v>0.75</v>
      </c>
      <c r="Q893">
        <f>O893*$S$4</f>
        <v>1</v>
      </c>
    </row>
    <row r="894" spans="1:17">
      <c r="A894" s="2">
        <v>893</v>
      </c>
      <c r="B894" s="4">
        <f>DAY(G894)</f>
        <v>21</v>
      </c>
      <c r="C894">
        <f>MONTH(G894)</f>
        <v>4</v>
      </c>
      <c r="D894">
        <f>YEAR(G894)</f>
        <v>2023</v>
      </c>
      <c r="E894" t="str">
        <f>TEXT(G894,"DDDD")</f>
        <v>Friday</v>
      </c>
      <c r="F894" t="str">
        <f>TEXT(G894,"MMMM")</f>
        <v>April</v>
      </c>
      <c r="G894" s="3">
        <v>45037</v>
      </c>
      <c r="H894" s="4" t="s">
        <v>926</v>
      </c>
      <c r="I894" s="4" t="s">
        <v>4</v>
      </c>
      <c r="J894" s="4" t="str">
        <f>IF(K894&lt;30, "Young Adult","Adult")</f>
        <v>Adult</v>
      </c>
      <c r="K894" s="4">
        <v>49</v>
      </c>
      <c r="L894" s="4" t="s">
        <v>8</v>
      </c>
      <c r="M894" s="4">
        <v>1</v>
      </c>
      <c r="N894" s="5">
        <v>50</v>
      </c>
      <c r="O894">
        <f>(M894*N894)</f>
        <v>50</v>
      </c>
      <c r="P894">
        <f>O894*$S$3</f>
        <v>0.75</v>
      </c>
      <c r="Q894">
        <f>O894*$S$4</f>
        <v>1</v>
      </c>
    </row>
    <row r="895" spans="1:17">
      <c r="A895" s="2">
        <v>894</v>
      </c>
      <c r="B895" s="4">
        <f>DAY(G895)</f>
        <v>5</v>
      </c>
      <c r="C895">
        <f>MONTH(G895)</f>
        <v>9</v>
      </c>
      <c r="D895">
        <f>YEAR(G895)</f>
        <v>2023</v>
      </c>
      <c r="E895" t="str">
        <f>TEXT(G895,"DDDD")</f>
        <v>Tuesday</v>
      </c>
      <c r="F895" t="str">
        <f>TEXT(G895,"MMMM")</f>
        <v>September</v>
      </c>
      <c r="G895" s="3">
        <v>45174</v>
      </c>
      <c r="H895" s="4" t="s">
        <v>927</v>
      </c>
      <c r="I895" s="4" t="s">
        <v>4</v>
      </c>
      <c r="J895" s="4" t="str">
        <f>IF(K895&lt;30, "Young Adult","Adult")</f>
        <v>Adult</v>
      </c>
      <c r="K895" s="4">
        <v>52</v>
      </c>
      <c r="L895" s="4" t="s">
        <v>8</v>
      </c>
      <c r="M895" s="4">
        <v>1</v>
      </c>
      <c r="N895" s="5">
        <v>30</v>
      </c>
      <c r="O895">
        <f>(M895*N895)</f>
        <v>30</v>
      </c>
      <c r="P895">
        <f>O895*$S$3</f>
        <v>0.44999999999999996</v>
      </c>
      <c r="Q895">
        <f>O895*$S$4</f>
        <v>0.6</v>
      </c>
    </row>
    <row r="896" spans="1:17">
      <c r="A896" s="2">
        <v>895</v>
      </c>
      <c r="B896" s="4">
        <f>DAY(G896)</f>
        <v>22</v>
      </c>
      <c r="C896">
        <f>MONTH(G896)</f>
        <v>5</v>
      </c>
      <c r="D896">
        <f>YEAR(G896)</f>
        <v>2023</v>
      </c>
      <c r="E896" t="str">
        <f>TEXT(G896,"DDDD")</f>
        <v>Monday</v>
      </c>
      <c r="F896" t="str">
        <f>TEXT(G896,"MMMM")</f>
        <v>May</v>
      </c>
      <c r="G896" s="3">
        <v>45068</v>
      </c>
      <c r="H896" s="4" t="s">
        <v>928</v>
      </c>
      <c r="I896" s="4" t="s">
        <v>3</v>
      </c>
      <c r="J896" s="4" t="str">
        <f>IF(K896&lt;30, "Young Adult","Adult")</f>
        <v>Adult</v>
      </c>
      <c r="K896" s="4">
        <v>55</v>
      </c>
      <c r="L896" s="4" t="s">
        <v>7</v>
      </c>
      <c r="M896" s="4">
        <v>4</v>
      </c>
      <c r="N896" s="5">
        <v>30</v>
      </c>
      <c r="O896">
        <f>(M896*N896)</f>
        <v>120</v>
      </c>
      <c r="P896">
        <f>O896*$S$3</f>
        <v>1.7999999999999998</v>
      </c>
      <c r="Q896">
        <f>O896*$S$4</f>
        <v>2.4</v>
      </c>
    </row>
    <row r="897" spans="1:17">
      <c r="A897" s="2">
        <v>896</v>
      </c>
      <c r="B897" s="4">
        <f>DAY(G897)</f>
        <v>29</v>
      </c>
      <c r="C897">
        <f>MONTH(G897)</f>
        <v>10</v>
      </c>
      <c r="D897">
        <f>YEAR(G897)</f>
        <v>2023</v>
      </c>
      <c r="E897" t="str">
        <f>TEXT(G897,"DDDD")</f>
        <v>Sunday</v>
      </c>
      <c r="F897" t="str">
        <f>TEXT(G897,"MMMM")</f>
        <v>October</v>
      </c>
      <c r="G897" s="3">
        <v>45228</v>
      </c>
      <c r="H897" s="4" t="s">
        <v>929</v>
      </c>
      <c r="I897" s="4" t="s">
        <v>3</v>
      </c>
      <c r="J897" s="4" t="str">
        <f>IF(K897&lt;30, "Young Adult","Adult")</f>
        <v>Adult</v>
      </c>
      <c r="K897" s="4">
        <v>30</v>
      </c>
      <c r="L897" s="4" t="s">
        <v>8</v>
      </c>
      <c r="M897" s="4">
        <v>2</v>
      </c>
      <c r="N897" s="5">
        <v>25</v>
      </c>
      <c r="O897">
        <f>(M897*N897)</f>
        <v>50</v>
      </c>
      <c r="P897">
        <f>O897*$S$3</f>
        <v>0.75</v>
      </c>
      <c r="Q897">
        <f>O897*$S$4</f>
        <v>1</v>
      </c>
    </row>
    <row r="898" spans="1:17">
      <c r="A898" s="2">
        <v>897</v>
      </c>
      <c r="B898" s="4">
        <f>DAY(G898)</f>
        <v>26</v>
      </c>
      <c r="C898">
        <f>MONTH(G898)</f>
        <v>9</v>
      </c>
      <c r="D898">
        <f>YEAR(G898)</f>
        <v>2023</v>
      </c>
      <c r="E898" t="str">
        <f>TEXT(G898,"DDDD")</f>
        <v>Tuesday</v>
      </c>
      <c r="F898" t="str">
        <f>TEXT(G898,"MMMM")</f>
        <v>September</v>
      </c>
      <c r="G898" s="3">
        <v>45195</v>
      </c>
      <c r="H898" s="4" t="s">
        <v>930</v>
      </c>
      <c r="I898" s="4" t="s">
        <v>3</v>
      </c>
      <c r="J898" s="4" t="str">
        <f>IF(K898&lt;30, "Young Adult","Adult")</f>
        <v>Adult</v>
      </c>
      <c r="K898" s="4">
        <v>64</v>
      </c>
      <c r="L898" s="4" t="s">
        <v>8</v>
      </c>
      <c r="M898" s="4">
        <v>2</v>
      </c>
      <c r="N898" s="5">
        <v>50</v>
      </c>
      <c r="O898">
        <f>(M898*N898)</f>
        <v>100</v>
      </c>
      <c r="P898">
        <f>O898*$S$3</f>
        <v>1.5</v>
      </c>
      <c r="Q898">
        <f>O898*$S$4</f>
        <v>2</v>
      </c>
    </row>
    <row r="899" spans="1:17">
      <c r="A899" s="2">
        <v>898</v>
      </c>
      <c r="B899" s="4">
        <f>DAY(G899)</f>
        <v>2</v>
      </c>
      <c r="C899">
        <f>MONTH(G899)</f>
        <v>11</v>
      </c>
      <c r="D899">
        <f>YEAR(G899)</f>
        <v>2023</v>
      </c>
      <c r="E899" t="str">
        <f>TEXT(G899,"DDDD")</f>
        <v>Thursday</v>
      </c>
      <c r="F899" t="str">
        <f>TEXT(G899,"MMMM")</f>
        <v>November</v>
      </c>
      <c r="G899" s="3">
        <v>45232</v>
      </c>
      <c r="H899" s="4" t="s">
        <v>931</v>
      </c>
      <c r="I899" s="4" t="s">
        <v>3</v>
      </c>
      <c r="J899" s="4" t="str">
        <f>IF(K899&lt;30, "Young Adult","Adult")</f>
        <v>Adult</v>
      </c>
      <c r="K899" s="4">
        <v>42</v>
      </c>
      <c r="L899" s="4" t="s">
        <v>7</v>
      </c>
      <c r="M899" s="4">
        <v>3</v>
      </c>
      <c r="N899" s="5">
        <v>30</v>
      </c>
      <c r="O899">
        <f>(M899*N899)</f>
        <v>90</v>
      </c>
      <c r="P899">
        <f>O899*$S$3</f>
        <v>1.3499999999999999</v>
      </c>
      <c r="Q899">
        <f>O899*$S$4</f>
        <v>1.8</v>
      </c>
    </row>
    <row r="900" spans="1:17">
      <c r="A900" s="2">
        <v>899</v>
      </c>
      <c r="B900" s="4">
        <f>DAY(G900)</f>
        <v>25</v>
      </c>
      <c r="C900">
        <f>MONTH(G900)</f>
        <v>5</v>
      </c>
      <c r="D900">
        <f>YEAR(G900)</f>
        <v>2023</v>
      </c>
      <c r="E900" t="str">
        <f>TEXT(G900,"DDDD")</f>
        <v>Thursday</v>
      </c>
      <c r="F900" t="str">
        <f>TEXT(G900,"MMMM")</f>
        <v>May</v>
      </c>
      <c r="G900" s="3">
        <v>45071</v>
      </c>
      <c r="H900" s="4" t="s">
        <v>932</v>
      </c>
      <c r="I900" s="4" t="s">
        <v>4</v>
      </c>
      <c r="J900" s="4" t="str">
        <f>IF(K900&lt;30, "Young Adult","Adult")</f>
        <v>Young Adult</v>
      </c>
      <c r="K900" s="4">
        <v>26</v>
      </c>
      <c r="L900" s="4" t="s">
        <v>7</v>
      </c>
      <c r="M900" s="4">
        <v>2</v>
      </c>
      <c r="N900" s="5">
        <v>300</v>
      </c>
      <c r="O900">
        <f>(M900*N900)</f>
        <v>600</v>
      </c>
      <c r="P900">
        <f>O900*$S$3</f>
        <v>9</v>
      </c>
      <c r="Q900">
        <f>O900*$S$4</f>
        <v>12</v>
      </c>
    </row>
    <row r="901" spans="1:17">
      <c r="A901" s="2">
        <v>900</v>
      </c>
      <c r="B901" s="4">
        <f>DAY(G901)</f>
        <v>21</v>
      </c>
      <c r="C901">
        <f>MONTH(G901)</f>
        <v>2</v>
      </c>
      <c r="D901">
        <f>YEAR(G901)</f>
        <v>2023</v>
      </c>
      <c r="E901" t="str">
        <f>TEXT(G901,"DDDD")</f>
        <v>Tuesday</v>
      </c>
      <c r="F901" t="str">
        <f>TEXT(G901,"MMMM")</f>
        <v>February</v>
      </c>
      <c r="G901" s="3">
        <v>44978</v>
      </c>
      <c r="H901" s="4" t="s">
        <v>933</v>
      </c>
      <c r="I901" s="4" t="s">
        <v>4</v>
      </c>
      <c r="J901" s="4" t="str">
        <f>IF(K901&lt;30, "Young Adult","Adult")</f>
        <v>Young Adult</v>
      </c>
      <c r="K901" s="4">
        <v>21</v>
      </c>
      <c r="L901" s="4" t="s">
        <v>7</v>
      </c>
      <c r="M901" s="4">
        <v>2</v>
      </c>
      <c r="N901" s="5">
        <v>30</v>
      </c>
      <c r="O901">
        <f>(M901*N901)</f>
        <v>60</v>
      </c>
      <c r="P901">
        <f>O901*$S$3</f>
        <v>0.89999999999999991</v>
      </c>
      <c r="Q901">
        <f>O901*$S$4</f>
        <v>1.2</v>
      </c>
    </row>
    <row r="902" spans="1:17">
      <c r="A902" s="2">
        <v>901</v>
      </c>
      <c r="B902" s="4">
        <f>DAY(G902)</f>
        <v>10</v>
      </c>
      <c r="C902">
        <f>MONTH(G902)</f>
        <v>4</v>
      </c>
      <c r="D902">
        <f>YEAR(G902)</f>
        <v>2023</v>
      </c>
      <c r="E902" t="str">
        <f>TEXT(G902,"DDDD")</f>
        <v>Monday</v>
      </c>
      <c r="F902" t="str">
        <f>TEXT(G902,"MMMM")</f>
        <v>April</v>
      </c>
      <c r="G902" s="3">
        <v>45026</v>
      </c>
      <c r="H902" s="4" t="s">
        <v>934</v>
      </c>
      <c r="I902" s="4" t="s">
        <v>4</v>
      </c>
      <c r="J902" s="4" t="str">
        <f>IF(K902&lt;30, "Young Adult","Adult")</f>
        <v>Adult</v>
      </c>
      <c r="K902" s="4">
        <v>31</v>
      </c>
      <c r="L902" s="4" t="s">
        <v>8</v>
      </c>
      <c r="M902" s="4">
        <v>1</v>
      </c>
      <c r="N902" s="5">
        <v>30</v>
      </c>
      <c r="O902">
        <f>(M902*N902)</f>
        <v>30</v>
      </c>
      <c r="P902">
        <f>O902*$S$3</f>
        <v>0.44999999999999996</v>
      </c>
      <c r="Q902">
        <f>O902*$S$4</f>
        <v>0.6</v>
      </c>
    </row>
    <row r="903" spans="1:17">
      <c r="A903" s="2">
        <v>902</v>
      </c>
      <c r="B903" s="4">
        <f>DAY(G903)</f>
        <v>1</v>
      </c>
      <c r="C903">
        <f>MONTH(G903)</f>
        <v>6</v>
      </c>
      <c r="D903">
        <f>YEAR(G903)</f>
        <v>2023</v>
      </c>
      <c r="E903" t="str">
        <f>TEXT(G903,"DDDD")</f>
        <v>Thursday</v>
      </c>
      <c r="F903" t="str">
        <f>TEXT(G903,"MMMM")</f>
        <v>June</v>
      </c>
      <c r="G903" s="3">
        <v>45078</v>
      </c>
      <c r="H903" s="4" t="s">
        <v>935</v>
      </c>
      <c r="I903" s="4" t="s">
        <v>3</v>
      </c>
      <c r="J903" s="4" t="str">
        <f>IF(K903&lt;30, "Young Adult","Adult")</f>
        <v>Adult</v>
      </c>
      <c r="K903" s="4">
        <v>54</v>
      </c>
      <c r="L903" s="4" t="s">
        <v>6</v>
      </c>
      <c r="M903" s="4">
        <v>1</v>
      </c>
      <c r="N903" s="5">
        <v>50</v>
      </c>
      <c r="O903">
        <f>(M903*N903)</f>
        <v>50</v>
      </c>
      <c r="P903">
        <f>O903*$S$3</f>
        <v>0.75</v>
      </c>
      <c r="Q903">
        <f>O903*$S$4</f>
        <v>1</v>
      </c>
    </row>
    <row r="904" spans="1:17">
      <c r="A904" s="2">
        <v>903</v>
      </c>
      <c r="B904" s="4">
        <f>DAY(G904)</f>
        <v>27</v>
      </c>
      <c r="C904">
        <f>MONTH(G904)</f>
        <v>4</v>
      </c>
      <c r="D904">
        <f>YEAR(G904)</f>
        <v>2023</v>
      </c>
      <c r="E904" t="str">
        <f>TEXT(G904,"DDDD")</f>
        <v>Thursday</v>
      </c>
      <c r="F904" t="str">
        <f>TEXT(G904,"MMMM")</f>
        <v>April</v>
      </c>
      <c r="G904" s="3">
        <v>45043</v>
      </c>
      <c r="H904" s="4" t="s">
        <v>936</v>
      </c>
      <c r="I904" s="4" t="s">
        <v>3</v>
      </c>
      <c r="J904" s="4" t="str">
        <f>IF(K904&lt;30, "Young Adult","Adult")</f>
        <v>Adult</v>
      </c>
      <c r="K904" s="4">
        <v>51</v>
      </c>
      <c r="L904" s="4" t="s">
        <v>6</v>
      </c>
      <c r="M904" s="4">
        <v>4</v>
      </c>
      <c r="N904" s="5">
        <v>50</v>
      </c>
      <c r="O904">
        <f>(M904*N904)</f>
        <v>200</v>
      </c>
      <c r="P904">
        <f>O904*$S$3</f>
        <v>3</v>
      </c>
      <c r="Q904">
        <f>O904*$S$4</f>
        <v>4</v>
      </c>
    </row>
    <row r="905" spans="1:17">
      <c r="A905" s="2">
        <v>904</v>
      </c>
      <c r="B905" s="4">
        <f>DAY(G905)</f>
        <v>4</v>
      </c>
      <c r="C905">
        <f>MONTH(G905)</f>
        <v>7</v>
      </c>
      <c r="D905">
        <f>YEAR(G905)</f>
        <v>2023</v>
      </c>
      <c r="E905" t="str">
        <f>TEXT(G905,"DDDD")</f>
        <v>Tuesday</v>
      </c>
      <c r="F905" t="str">
        <f>TEXT(G905,"MMMM")</f>
        <v>July</v>
      </c>
      <c r="G905" s="3">
        <v>45111</v>
      </c>
      <c r="H905" s="4" t="s">
        <v>937</v>
      </c>
      <c r="I905" s="4" t="s">
        <v>4</v>
      </c>
      <c r="J905" s="4" t="str">
        <f>IF(K905&lt;30, "Young Adult","Adult")</f>
        <v>Young Adult</v>
      </c>
      <c r="K905" s="4">
        <v>28</v>
      </c>
      <c r="L905" s="4" t="s">
        <v>7</v>
      </c>
      <c r="M905" s="4">
        <v>1</v>
      </c>
      <c r="N905" s="5">
        <v>500</v>
      </c>
      <c r="O905">
        <f>(M905*N905)</f>
        <v>500</v>
      </c>
      <c r="P905">
        <f>O905*$S$3</f>
        <v>7.5</v>
      </c>
      <c r="Q905">
        <f>O905*$S$4</f>
        <v>10</v>
      </c>
    </row>
    <row r="906" spans="1:17">
      <c r="A906" s="2">
        <v>905</v>
      </c>
      <c r="B906" s="4">
        <f>DAY(G906)</f>
        <v>2</v>
      </c>
      <c r="C906">
        <f>MONTH(G906)</f>
        <v>4</v>
      </c>
      <c r="D906">
        <f>YEAR(G906)</f>
        <v>2023</v>
      </c>
      <c r="E906" t="str">
        <f>TEXT(G906,"DDDD")</f>
        <v>Sunday</v>
      </c>
      <c r="F906" t="str">
        <f>TEXT(G906,"MMMM")</f>
        <v>April</v>
      </c>
      <c r="G906" s="3">
        <v>45018</v>
      </c>
      <c r="H906" s="4" t="s">
        <v>938</v>
      </c>
      <c r="I906" s="4" t="s">
        <v>4</v>
      </c>
      <c r="J906" s="4" t="str">
        <f>IF(K906&lt;30, "Young Adult","Adult")</f>
        <v>Adult</v>
      </c>
      <c r="K906" s="4">
        <v>58</v>
      </c>
      <c r="L906" s="4" t="s">
        <v>6</v>
      </c>
      <c r="M906" s="4">
        <v>1</v>
      </c>
      <c r="N906" s="5">
        <v>300</v>
      </c>
      <c r="O906">
        <f>(M906*N906)</f>
        <v>300</v>
      </c>
      <c r="P906">
        <f>O906*$S$3</f>
        <v>4.5</v>
      </c>
      <c r="Q906">
        <f>O906*$S$4</f>
        <v>6</v>
      </c>
    </row>
    <row r="907" spans="1:17">
      <c r="A907" s="2">
        <v>906</v>
      </c>
      <c r="B907" s="4">
        <f>DAY(G907)</f>
        <v>4</v>
      </c>
      <c r="C907">
        <f>MONTH(G907)</f>
        <v>6</v>
      </c>
      <c r="D907">
        <f>YEAR(G907)</f>
        <v>2023</v>
      </c>
      <c r="E907" t="str">
        <f>TEXT(G907,"DDDD")</f>
        <v>Sunday</v>
      </c>
      <c r="F907" t="str">
        <f>TEXT(G907,"MMMM")</f>
        <v>June</v>
      </c>
      <c r="G907" s="3">
        <v>45081</v>
      </c>
      <c r="H907" s="4" t="s">
        <v>939</v>
      </c>
      <c r="I907" s="4" t="s">
        <v>3</v>
      </c>
      <c r="J907" s="4" t="str">
        <f>IF(K907&lt;30, "Young Adult","Adult")</f>
        <v>Young Adult</v>
      </c>
      <c r="K907" s="4">
        <v>20</v>
      </c>
      <c r="L907" s="4" t="s">
        <v>7</v>
      </c>
      <c r="M907" s="4">
        <v>1</v>
      </c>
      <c r="N907" s="5">
        <v>50</v>
      </c>
      <c r="O907">
        <f>(M907*N907)</f>
        <v>50</v>
      </c>
      <c r="P907">
        <f>O907*$S$3</f>
        <v>0.75</v>
      </c>
      <c r="Q907">
        <f>O907*$S$4</f>
        <v>1</v>
      </c>
    </row>
    <row r="908" spans="1:17">
      <c r="A908" s="2">
        <v>907</v>
      </c>
      <c r="B908" s="4">
        <f>DAY(G908)</f>
        <v>8</v>
      </c>
      <c r="C908">
        <f>MONTH(G908)</f>
        <v>1</v>
      </c>
      <c r="D908">
        <f>YEAR(G908)</f>
        <v>2023</v>
      </c>
      <c r="E908" t="str">
        <f>TEXT(G908,"DDDD")</f>
        <v>Sunday</v>
      </c>
      <c r="F908" t="str">
        <f>TEXT(G908,"MMMM")</f>
        <v>January</v>
      </c>
      <c r="G908" s="3">
        <v>44934</v>
      </c>
      <c r="H908" s="4" t="s">
        <v>940</v>
      </c>
      <c r="I908" s="4" t="s">
        <v>3</v>
      </c>
      <c r="J908" s="4" t="str">
        <f>IF(K908&lt;30, "Young Adult","Adult")</f>
        <v>Adult</v>
      </c>
      <c r="K908" s="4">
        <v>45</v>
      </c>
      <c r="L908" s="4" t="s">
        <v>8</v>
      </c>
      <c r="M908" s="4">
        <v>1</v>
      </c>
      <c r="N908" s="5">
        <v>25</v>
      </c>
      <c r="O908">
        <f>(M908*N908)</f>
        <v>25</v>
      </c>
      <c r="P908">
        <f>O908*$S$3</f>
        <v>0.375</v>
      </c>
      <c r="Q908">
        <f>O908*$S$4</f>
        <v>0.5</v>
      </c>
    </row>
    <row r="909" spans="1:17">
      <c r="A909" s="2">
        <v>908</v>
      </c>
      <c r="B909" s="4">
        <f>DAY(G909)</f>
        <v>29</v>
      </c>
      <c r="C909">
        <f>MONTH(G909)</f>
        <v>12</v>
      </c>
      <c r="D909">
        <f>YEAR(G909)</f>
        <v>2023</v>
      </c>
      <c r="E909" t="str">
        <f>TEXT(G909,"DDDD")</f>
        <v>Friday</v>
      </c>
      <c r="F909" t="str">
        <f>TEXT(G909,"MMMM")</f>
        <v>December</v>
      </c>
      <c r="G909" s="3">
        <v>45289</v>
      </c>
      <c r="H909" s="4" t="s">
        <v>941</v>
      </c>
      <c r="I909" s="4" t="s">
        <v>4</v>
      </c>
      <c r="J909" s="4" t="str">
        <f>IF(K909&lt;30, "Young Adult","Adult")</f>
        <v>Adult</v>
      </c>
      <c r="K909" s="4">
        <v>46</v>
      </c>
      <c r="L909" s="4" t="s">
        <v>6</v>
      </c>
      <c r="M909" s="4">
        <v>4</v>
      </c>
      <c r="N909" s="5">
        <v>300</v>
      </c>
      <c r="O909">
        <f>(M909*N909)</f>
        <v>1200</v>
      </c>
      <c r="P909">
        <f>O909*$S$3</f>
        <v>18</v>
      </c>
      <c r="Q909">
        <f>O909*$S$4</f>
        <v>24</v>
      </c>
    </row>
    <row r="910" spans="1:17">
      <c r="A910" s="2">
        <v>909</v>
      </c>
      <c r="B910" s="4">
        <f>DAY(G910)</f>
        <v>1</v>
      </c>
      <c r="C910">
        <f>MONTH(G910)</f>
        <v>10</v>
      </c>
      <c r="D910">
        <f>YEAR(G910)</f>
        <v>2023</v>
      </c>
      <c r="E910" t="str">
        <f>TEXT(G910,"DDDD")</f>
        <v>Sunday</v>
      </c>
      <c r="F910" t="str">
        <f>TEXT(G910,"MMMM")</f>
        <v>October</v>
      </c>
      <c r="G910" s="3">
        <v>45200</v>
      </c>
      <c r="H910" s="4" t="s">
        <v>942</v>
      </c>
      <c r="I910" s="4" t="s">
        <v>4</v>
      </c>
      <c r="J910" s="4" t="str">
        <f>IF(K910&lt;30, "Young Adult","Adult")</f>
        <v>Young Adult</v>
      </c>
      <c r="K910" s="4">
        <v>26</v>
      </c>
      <c r="L910" s="4" t="s">
        <v>8</v>
      </c>
      <c r="M910" s="4">
        <v>1</v>
      </c>
      <c r="N910" s="5">
        <v>300</v>
      </c>
      <c r="O910">
        <f>(M910*N910)</f>
        <v>300</v>
      </c>
      <c r="P910">
        <f>O910*$S$3</f>
        <v>4.5</v>
      </c>
      <c r="Q910">
        <f>O910*$S$4</f>
        <v>6</v>
      </c>
    </row>
    <row r="911" spans="1:17">
      <c r="A911" s="2">
        <v>910</v>
      </c>
      <c r="B911" s="4">
        <f>DAY(G911)</f>
        <v>6</v>
      </c>
      <c r="C911">
        <f>MONTH(G911)</f>
        <v>3</v>
      </c>
      <c r="D911">
        <f>YEAR(G911)</f>
        <v>2023</v>
      </c>
      <c r="E911" t="str">
        <f>TEXT(G911,"DDDD")</f>
        <v>Monday</v>
      </c>
      <c r="F911" t="str">
        <f>TEXT(G911,"MMMM")</f>
        <v>March</v>
      </c>
      <c r="G911" s="3">
        <v>44991</v>
      </c>
      <c r="H911" s="4" t="s">
        <v>943</v>
      </c>
      <c r="I911" s="4" t="s">
        <v>3</v>
      </c>
      <c r="J911" s="4" t="str">
        <f>IF(K911&lt;30, "Young Adult","Adult")</f>
        <v>Young Adult</v>
      </c>
      <c r="K911" s="4">
        <v>20</v>
      </c>
      <c r="L911" s="4" t="s">
        <v>6</v>
      </c>
      <c r="M911" s="4">
        <v>3</v>
      </c>
      <c r="N911" s="5">
        <v>50</v>
      </c>
      <c r="O911">
        <f>(M911*N911)</f>
        <v>150</v>
      </c>
      <c r="P911">
        <f>O911*$S$3</f>
        <v>2.25</v>
      </c>
      <c r="Q911">
        <f>O911*$S$4</f>
        <v>3</v>
      </c>
    </row>
    <row r="912" spans="1:17">
      <c r="A912" s="2">
        <v>911</v>
      </c>
      <c r="B912" s="4">
        <f>DAY(G912)</f>
        <v>21</v>
      </c>
      <c r="C912">
        <f>MONTH(G912)</f>
        <v>5</v>
      </c>
      <c r="D912">
        <f>YEAR(G912)</f>
        <v>2023</v>
      </c>
      <c r="E912" t="str">
        <f>TEXT(G912,"DDDD")</f>
        <v>Sunday</v>
      </c>
      <c r="F912" t="str">
        <f>TEXT(G912,"MMMM")</f>
        <v>May</v>
      </c>
      <c r="G912" s="3">
        <v>45067</v>
      </c>
      <c r="H912" s="4" t="s">
        <v>944</v>
      </c>
      <c r="I912" s="4" t="s">
        <v>4</v>
      </c>
      <c r="J912" s="4" t="str">
        <f>IF(K912&lt;30, "Young Adult","Adult")</f>
        <v>Adult</v>
      </c>
      <c r="K912" s="4">
        <v>42</v>
      </c>
      <c r="L912" s="4" t="s">
        <v>8</v>
      </c>
      <c r="M912" s="4">
        <v>3</v>
      </c>
      <c r="N912" s="5">
        <v>300</v>
      </c>
      <c r="O912">
        <f>(M912*N912)</f>
        <v>900</v>
      </c>
      <c r="P912">
        <f>O912*$S$3</f>
        <v>13.5</v>
      </c>
      <c r="Q912">
        <f>O912*$S$4</f>
        <v>18</v>
      </c>
    </row>
    <row r="913" spans="1:17">
      <c r="A913" s="2">
        <v>912</v>
      </c>
      <c r="B913" s="4">
        <f>DAY(G913)</f>
        <v>24</v>
      </c>
      <c r="C913">
        <f>MONTH(G913)</f>
        <v>1</v>
      </c>
      <c r="D913">
        <f>YEAR(G913)</f>
        <v>2023</v>
      </c>
      <c r="E913" t="str">
        <f>TEXT(G913,"DDDD")</f>
        <v>Tuesday</v>
      </c>
      <c r="F913" t="str">
        <f>TEXT(G913,"MMMM")</f>
        <v>January</v>
      </c>
      <c r="G913" s="3">
        <v>44950</v>
      </c>
      <c r="H913" s="4" t="s">
        <v>945</v>
      </c>
      <c r="I913" s="4" t="s">
        <v>4</v>
      </c>
      <c r="J913" s="4" t="str">
        <f>IF(K913&lt;30, "Young Adult","Adult")</f>
        <v>Adult</v>
      </c>
      <c r="K913" s="4">
        <v>51</v>
      </c>
      <c r="L913" s="4" t="s">
        <v>6</v>
      </c>
      <c r="M913" s="4">
        <v>3</v>
      </c>
      <c r="N913" s="5">
        <v>50</v>
      </c>
      <c r="O913">
        <f>(M913*N913)</f>
        <v>150</v>
      </c>
      <c r="P913">
        <f>O913*$S$3</f>
        <v>2.25</v>
      </c>
      <c r="Q913">
        <f>O913*$S$4</f>
        <v>3</v>
      </c>
    </row>
    <row r="914" spans="1:17">
      <c r="A914" s="2">
        <v>913</v>
      </c>
      <c r="B914" s="4">
        <f>DAY(G914)</f>
        <v>28</v>
      </c>
      <c r="C914">
        <f>MONTH(G914)</f>
        <v>1</v>
      </c>
      <c r="D914">
        <f>YEAR(G914)</f>
        <v>2023</v>
      </c>
      <c r="E914" t="str">
        <f>TEXT(G914,"DDDD")</f>
        <v>Saturday</v>
      </c>
      <c r="F914" t="str">
        <f>TEXT(G914,"MMMM")</f>
        <v>January</v>
      </c>
      <c r="G914" s="3">
        <v>44954</v>
      </c>
      <c r="H914" s="4" t="s">
        <v>946</v>
      </c>
      <c r="I914" s="4" t="s">
        <v>4</v>
      </c>
      <c r="J914" s="4" t="str">
        <f>IF(K914&lt;30, "Young Adult","Adult")</f>
        <v>Young Adult</v>
      </c>
      <c r="K914" s="4">
        <v>29</v>
      </c>
      <c r="L914" s="4" t="s">
        <v>8</v>
      </c>
      <c r="M914" s="4">
        <v>3</v>
      </c>
      <c r="N914" s="5">
        <v>30</v>
      </c>
      <c r="O914">
        <f>(M914*N914)</f>
        <v>90</v>
      </c>
      <c r="P914">
        <f>O914*$S$3</f>
        <v>1.3499999999999999</v>
      </c>
      <c r="Q914">
        <f>O914*$S$4</f>
        <v>1.8</v>
      </c>
    </row>
    <row r="915" spans="1:17">
      <c r="A915" s="2">
        <v>914</v>
      </c>
      <c r="B915" s="4">
        <f>DAY(G915)</f>
        <v>11</v>
      </c>
      <c r="C915">
        <f>MONTH(G915)</f>
        <v>10</v>
      </c>
      <c r="D915">
        <f>YEAR(G915)</f>
        <v>2023</v>
      </c>
      <c r="E915" t="str">
        <f>TEXT(G915,"DDDD")</f>
        <v>Wednesday</v>
      </c>
      <c r="F915" t="str">
        <f>TEXT(G915,"MMMM")</f>
        <v>October</v>
      </c>
      <c r="G915" s="3">
        <v>45210</v>
      </c>
      <c r="H915" s="4" t="s">
        <v>947</v>
      </c>
      <c r="I915" s="4" t="s">
        <v>3</v>
      </c>
      <c r="J915" s="4" t="str">
        <f>IF(K915&lt;30, "Young Adult","Adult")</f>
        <v>Adult</v>
      </c>
      <c r="K915" s="4">
        <v>59</v>
      </c>
      <c r="L915" s="4" t="s">
        <v>8</v>
      </c>
      <c r="M915" s="4">
        <v>1</v>
      </c>
      <c r="N915" s="5">
        <v>500</v>
      </c>
      <c r="O915">
        <f>(M915*N915)</f>
        <v>500</v>
      </c>
      <c r="P915">
        <f>O915*$S$3</f>
        <v>7.5</v>
      </c>
      <c r="Q915">
        <f>O915*$S$4</f>
        <v>10</v>
      </c>
    </row>
    <row r="916" spans="1:17">
      <c r="A916" s="2">
        <v>915</v>
      </c>
      <c r="B916" s="4">
        <f>DAY(G916)</f>
        <v>30</v>
      </c>
      <c r="C916">
        <f>MONTH(G916)</f>
        <v>5</v>
      </c>
      <c r="D916">
        <f>YEAR(G916)</f>
        <v>2023</v>
      </c>
      <c r="E916" t="str">
        <f>TEXT(G916,"DDDD")</f>
        <v>Tuesday</v>
      </c>
      <c r="F916" t="str">
        <f>TEXT(G916,"MMMM")</f>
        <v>May</v>
      </c>
      <c r="G916" s="3">
        <v>45076</v>
      </c>
      <c r="H916" s="4" t="s">
        <v>948</v>
      </c>
      <c r="I916" s="4" t="s">
        <v>3</v>
      </c>
      <c r="J916" s="4" t="str">
        <f>IF(K916&lt;30, "Young Adult","Adult")</f>
        <v>Young Adult</v>
      </c>
      <c r="K916" s="4">
        <v>26</v>
      </c>
      <c r="L916" s="4" t="s">
        <v>6</v>
      </c>
      <c r="M916" s="4">
        <v>3</v>
      </c>
      <c r="N916" s="5">
        <v>30</v>
      </c>
      <c r="O916">
        <f>(M916*N916)</f>
        <v>90</v>
      </c>
      <c r="P916">
        <f>O916*$S$3</f>
        <v>1.3499999999999999</v>
      </c>
      <c r="Q916">
        <f>O916*$S$4</f>
        <v>1.8</v>
      </c>
    </row>
    <row r="917" spans="1:17">
      <c r="A917" s="2">
        <v>916</v>
      </c>
      <c r="B917" s="4">
        <f>DAY(G917)</f>
        <v>24</v>
      </c>
      <c r="C917">
        <f>MONTH(G917)</f>
        <v>12</v>
      </c>
      <c r="D917">
        <f>YEAR(G917)</f>
        <v>2023</v>
      </c>
      <c r="E917" t="str">
        <f>TEXT(G917,"DDDD")</f>
        <v>Sunday</v>
      </c>
      <c r="F917" t="str">
        <f>TEXT(G917,"MMMM")</f>
        <v>December</v>
      </c>
      <c r="G917" s="3">
        <v>45284</v>
      </c>
      <c r="H917" s="4" t="s">
        <v>949</v>
      </c>
      <c r="I917" s="4" t="s">
        <v>3</v>
      </c>
      <c r="J917" s="4" t="str">
        <f>IF(K917&lt;30, "Young Adult","Adult")</f>
        <v>Adult</v>
      </c>
      <c r="K917" s="4">
        <v>32</v>
      </c>
      <c r="L917" s="4" t="s">
        <v>8</v>
      </c>
      <c r="M917" s="4">
        <v>1</v>
      </c>
      <c r="N917" s="5">
        <v>50</v>
      </c>
      <c r="O917">
        <f>(M917*N917)</f>
        <v>50</v>
      </c>
      <c r="P917">
        <f>O917*$S$3</f>
        <v>0.75</v>
      </c>
      <c r="Q917">
        <f>O917*$S$4</f>
        <v>1</v>
      </c>
    </row>
    <row r="918" spans="1:17">
      <c r="A918" s="2">
        <v>917</v>
      </c>
      <c r="B918" s="4">
        <f>DAY(G918)</f>
        <v>6</v>
      </c>
      <c r="C918">
        <f>MONTH(G918)</f>
        <v>3</v>
      </c>
      <c r="D918">
        <f>YEAR(G918)</f>
        <v>2023</v>
      </c>
      <c r="E918" t="str">
        <f>TEXT(G918,"DDDD")</f>
        <v>Monday</v>
      </c>
      <c r="F918" t="str">
        <f>TEXT(G918,"MMMM")</f>
        <v>March</v>
      </c>
      <c r="G918" s="3">
        <v>44991</v>
      </c>
      <c r="H918" s="4" t="s">
        <v>950</v>
      </c>
      <c r="I918" s="4" t="s">
        <v>3</v>
      </c>
      <c r="J918" s="4" t="str">
        <f>IF(K918&lt;30, "Young Adult","Adult")</f>
        <v>Adult</v>
      </c>
      <c r="K918" s="4">
        <v>57</v>
      </c>
      <c r="L918" s="4" t="s">
        <v>8</v>
      </c>
      <c r="M918" s="4">
        <v>4</v>
      </c>
      <c r="N918" s="5">
        <v>50</v>
      </c>
      <c r="O918">
        <f>(M918*N918)</f>
        <v>200</v>
      </c>
      <c r="P918">
        <f>O918*$S$3</f>
        <v>3</v>
      </c>
      <c r="Q918">
        <f>O918*$S$4</f>
        <v>4</v>
      </c>
    </row>
    <row r="919" spans="1:17">
      <c r="A919" s="2">
        <v>918</v>
      </c>
      <c r="B919" s="4">
        <f>DAY(G919)</f>
        <v>23</v>
      </c>
      <c r="C919">
        <f>MONTH(G919)</f>
        <v>11</v>
      </c>
      <c r="D919">
        <f>YEAR(G919)</f>
        <v>2023</v>
      </c>
      <c r="E919" t="str">
        <f>TEXT(G919,"DDDD")</f>
        <v>Thursday</v>
      </c>
      <c r="F919" t="str">
        <f>TEXT(G919,"MMMM")</f>
        <v>November</v>
      </c>
      <c r="G919" s="3">
        <v>45253</v>
      </c>
      <c r="H919" s="4" t="s">
        <v>951</v>
      </c>
      <c r="I919" s="4" t="s">
        <v>3</v>
      </c>
      <c r="J919" s="4" t="str">
        <f>IF(K919&lt;30, "Young Adult","Adult")</f>
        <v>Adult</v>
      </c>
      <c r="K919" s="4">
        <v>42</v>
      </c>
      <c r="L919" s="4" t="s">
        <v>8</v>
      </c>
      <c r="M919" s="4">
        <v>3</v>
      </c>
      <c r="N919" s="5">
        <v>30</v>
      </c>
      <c r="O919">
        <f>(M919*N919)</f>
        <v>90</v>
      </c>
      <c r="P919">
        <f>O919*$S$3</f>
        <v>1.3499999999999999</v>
      </c>
      <c r="Q919">
        <f>O919*$S$4</f>
        <v>1.8</v>
      </c>
    </row>
    <row r="920" spans="1:17">
      <c r="A920" s="2">
        <v>919</v>
      </c>
      <c r="B920" s="4">
        <f>DAY(G920)</f>
        <v>9</v>
      </c>
      <c r="C920">
        <f>MONTH(G920)</f>
        <v>9</v>
      </c>
      <c r="D920">
        <f>YEAR(G920)</f>
        <v>2023</v>
      </c>
      <c r="E920" t="str">
        <f>TEXT(G920,"DDDD")</f>
        <v>Saturday</v>
      </c>
      <c r="F920" t="str">
        <f>TEXT(G920,"MMMM")</f>
        <v>September</v>
      </c>
      <c r="G920" s="3">
        <v>45178</v>
      </c>
      <c r="H920" s="4" t="s">
        <v>952</v>
      </c>
      <c r="I920" s="4" t="s">
        <v>3</v>
      </c>
      <c r="J920" s="4" t="str">
        <f>IF(K920&lt;30, "Young Adult","Adult")</f>
        <v>Young Adult</v>
      </c>
      <c r="K920" s="4">
        <v>22</v>
      </c>
      <c r="L920" s="4" t="s">
        <v>6</v>
      </c>
      <c r="M920" s="4">
        <v>2</v>
      </c>
      <c r="N920" s="5">
        <v>25</v>
      </c>
      <c r="O920">
        <f>(M920*N920)</f>
        <v>50</v>
      </c>
      <c r="P920">
        <f>O920*$S$3</f>
        <v>0.75</v>
      </c>
      <c r="Q920">
        <f>O920*$S$4</f>
        <v>1</v>
      </c>
    </row>
    <row r="921" spans="1:17">
      <c r="A921" s="2">
        <v>920</v>
      </c>
      <c r="B921" s="4">
        <f>DAY(G921)</f>
        <v>22</v>
      </c>
      <c r="C921">
        <f>MONTH(G921)</f>
        <v>2</v>
      </c>
      <c r="D921">
        <f>YEAR(G921)</f>
        <v>2023</v>
      </c>
      <c r="E921" t="str">
        <f>TEXT(G921,"DDDD")</f>
        <v>Wednesday</v>
      </c>
      <c r="F921" t="str">
        <f>TEXT(G921,"MMMM")</f>
        <v>February</v>
      </c>
      <c r="G921" s="3">
        <v>44979</v>
      </c>
      <c r="H921" s="4" t="s">
        <v>953</v>
      </c>
      <c r="I921" s="4" t="s">
        <v>3</v>
      </c>
      <c r="J921" s="4" t="str">
        <f>IF(K921&lt;30, "Young Adult","Adult")</f>
        <v>Young Adult</v>
      </c>
      <c r="K921" s="4">
        <v>28</v>
      </c>
      <c r="L921" s="4" t="s">
        <v>6</v>
      </c>
      <c r="M921" s="4">
        <v>3</v>
      </c>
      <c r="N921" s="5">
        <v>25</v>
      </c>
      <c r="O921">
        <f>(M921*N921)</f>
        <v>75</v>
      </c>
      <c r="P921">
        <f>O921*$S$3</f>
        <v>1.125</v>
      </c>
      <c r="Q921">
        <f>O921*$S$4</f>
        <v>1.5</v>
      </c>
    </row>
    <row r="922" spans="1:17">
      <c r="A922" s="2">
        <v>921</v>
      </c>
      <c r="B922" s="4">
        <f>DAY(G922)</f>
        <v>7</v>
      </c>
      <c r="C922">
        <f>MONTH(G922)</f>
        <v>1</v>
      </c>
      <c r="D922">
        <f>YEAR(G922)</f>
        <v>2023</v>
      </c>
      <c r="E922" t="str">
        <f>TEXT(G922,"DDDD")</f>
        <v>Saturday</v>
      </c>
      <c r="F922" t="str">
        <f>TEXT(G922,"MMMM")</f>
        <v>January</v>
      </c>
      <c r="G922" s="3">
        <v>44933</v>
      </c>
      <c r="H922" s="4" t="s">
        <v>954</v>
      </c>
      <c r="I922" s="4" t="s">
        <v>4</v>
      </c>
      <c r="J922" s="4" t="str">
        <f>IF(K922&lt;30, "Young Adult","Adult")</f>
        <v>Adult</v>
      </c>
      <c r="K922" s="4">
        <v>51</v>
      </c>
      <c r="L922" s="4" t="s">
        <v>8</v>
      </c>
      <c r="M922" s="4">
        <v>3</v>
      </c>
      <c r="N922" s="5">
        <v>25</v>
      </c>
      <c r="O922">
        <f>(M922*N922)</f>
        <v>75</v>
      </c>
      <c r="P922">
        <f>O922*$S$3</f>
        <v>1.125</v>
      </c>
      <c r="Q922">
        <f>O922*$S$4</f>
        <v>1.5</v>
      </c>
    </row>
    <row r="923" spans="1:17">
      <c r="A923" s="2">
        <v>922</v>
      </c>
      <c r="B923" s="4">
        <f>DAY(G923)</f>
        <v>21</v>
      </c>
      <c r="C923">
        <f>MONTH(G923)</f>
        <v>10</v>
      </c>
      <c r="D923">
        <f>YEAR(G923)</f>
        <v>2023</v>
      </c>
      <c r="E923" t="str">
        <f>TEXT(G923,"DDDD")</f>
        <v>Saturday</v>
      </c>
      <c r="F923" t="str">
        <f>TEXT(G923,"MMMM")</f>
        <v>October</v>
      </c>
      <c r="G923" s="3">
        <v>45220</v>
      </c>
      <c r="H923" s="4" t="s">
        <v>955</v>
      </c>
      <c r="I923" s="4" t="s">
        <v>4</v>
      </c>
      <c r="J923" s="4" t="str">
        <f>IF(K923&lt;30, "Young Adult","Adult")</f>
        <v>Adult</v>
      </c>
      <c r="K923" s="4">
        <v>41</v>
      </c>
      <c r="L923" s="4" t="s">
        <v>8</v>
      </c>
      <c r="M923" s="4">
        <v>1</v>
      </c>
      <c r="N923" s="5">
        <v>50</v>
      </c>
      <c r="O923">
        <f>(M923*N923)</f>
        <v>50</v>
      </c>
      <c r="P923">
        <f>O923*$S$3</f>
        <v>0.75</v>
      </c>
      <c r="Q923">
        <f>O923*$S$4</f>
        <v>1</v>
      </c>
    </row>
    <row r="924" spans="1:17">
      <c r="A924" s="2">
        <v>923</v>
      </c>
      <c r="B924" s="4">
        <f>DAY(G924)</f>
        <v>26</v>
      </c>
      <c r="C924">
        <f>MONTH(G924)</f>
        <v>5</v>
      </c>
      <c r="D924">
        <f>YEAR(G924)</f>
        <v>2023</v>
      </c>
      <c r="E924" t="str">
        <f>TEXT(G924,"DDDD")</f>
        <v>Friday</v>
      </c>
      <c r="F924" t="str">
        <f>TEXT(G924,"MMMM")</f>
        <v>May</v>
      </c>
      <c r="G924" s="3">
        <v>45072</v>
      </c>
      <c r="H924" s="4" t="s">
        <v>956</v>
      </c>
      <c r="I924" s="4" t="s">
        <v>4</v>
      </c>
      <c r="J924" s="4" t="str">
        <f>IF(K924&lt;30, "Young Adult","Adult")</f>
        <v>Adult</v>
      </c>
      <c r="K924" s="4">
        <v>32</v>
      </c>
      <c r="L924" s="4" t="s">
        <v>6</v>
      </c>
      <c r="M924" s="4">
        <v>3</v>
      </c>
      <c r="N924" s="5">
        <v>300</v>
      </c>
      <c r="O924">
        <f>(M924*N924)</f>
        <v>900</v>
      </c>
      <c r="P924">
        <f>O924*$S$3</f>
        <v>13.5</v>
      </c>
      <c r="Q924">
        <f>O924*$S$4</f>
        <v>18</v>
      </c>
    </row>
    <row r="925" spans="1:17">
      <c r="A925" s="2">
        <v>924</v>
      </c>
      <c r="B925" s="4">
        <f>DAY(G925)</f>
        <v>29</v>
      </c>
      <c r="C925">
        <f>MONTH(G925)</f>
        <v>8</v>
      </c>
      <c r="D925">
        <f>YEAR(G925)</f>
        <v>2023</v>
      </c>
      <c r="E925" t="str">
        <f>TEXT(G925,"DDDD")</f>
        <v>Tuesday</v>
      </c>
      <c r="F925" t="str">
        <f>TEXT(G925,"MMMM")</f>
        <v>August</v>
      </c>
      <c r="G925" s="3">
        <v>45167</v>
      </c>
      <c r="H925" s="4" t="s">
        <v>957</v>
      </c>
      <c r="I925" s="4" t="s">
        <v>4</v>
      </c>
      <c r="J925" s="4" t="str">
        <f>IF(K925&lt;30, "Young Adult","Adult")</f>
        <v>Adult</v>
      </c>
      <c r="K925" s="4">
        <v>55</v>
      </c>
      <c r="L925" s="4" t="s">
        <v>6</v>
      </c>
      <c r="M925" s="4">
        <v>2</v>
      </c>
      <c r="N925" s="5">
        <v>50</v>
      </c>
      <c r="O925">
        <f>(M925*N925)</f>
        <v>100</v>
      </c>
      <c r="P925">
        <f>O925*$S$3</f>
        <v>1.5</v>
      </c>
      <c r="Q925">
        <f>O925*$S$4</f>
        <v>2</v>
      </c>
    </row>
    <row r="926" spans="1:17">
      <c r="A926" s="2">
        <v>925</v>
      </c>
      <c r="B926" s="4">
        <f>DAY(G926)</f>
        <v>3</v>
      </c>
      <c r="C926">
        <f>MONTH(G926)</f>
        <v>9</v>
      </c>
      <c r="D926">
        <f>YEAR(G926)</f>
        <v>2023</v>
      </c>
      <c r="E926" t="str">
        <f>TEXT(G926,"DDDD")</f>
        <v>Sunday</v>
      </c>
      <c r="F926" t="str">
        <f>TEXT(G926,"MMMM")</f>
        <v>September</v>
      </c>
      <c r="G926" s="3">
        <v>45172</v>
      </c>
      <c r="H926" s="4" t="s">
        <v>958</v>
      </c>
      <c r="I926" s="4" t="s">
        <v>4</v>
      </c>
      <c r="J926" s="4" t="str">
        <f>IF(K926&lt;30, "Young Adult","Adult")</f>
        <v>Young Adult</v>
      </c>
      <c r="K926" s="4">
        <v>25</v>
      </c>
      <c r="L926" s="4" t="s">
        <v>8</v>
      </c>
      <c r="M926" s="4">
        <v>1</v>
      </c>
      <c r="N926" s="5">
        <v>300</v>
      </c>
      <c r="O926">
        <f>(M926*N926)</f>
        <v>300</v>
      </c>
      <c r="P926">
        <f>O926*$S$3</f>
        <v>4.5</v>
      </c>
      <c r="Q926">
        <f>O926*$S$4</f>
        <v>6</v>
      </c>
    </row>
    <row r="927" spans="1:17">
      <c r="A927" s="2">
        <v>926</v>
      </c>
      <c r="B927" s="4">
        <f>DAY(G927)</f>
        <v>14</v>
      </c>
      <c r="C927">
        <f>MONTH(G927)</f>
        <v>8</v>
      </c>
      <c r="D927">
        <f>YEAR(G927)</f>
        <v>2023</v>
      </c>
      <c r="E927" t="str">
        <f>TEXT(G927,"DDDD")</f>
        <v>Monday</v>
      </c>
      <c r="F927" t="str">
        <f>TEXT(G927,"MMMM")</f>
        <v>August</v>
      </c>
      <c r="G927" s="3">
        <v>45152</v>
      </c>
      <c r="H927" s="4" t="s">
        <v>959</v>
      </c>
      <c r="I927" s="4" t="s">
        <v>4</v>
      </c>
      <c r="J927" s="4" t="str">
        <f>IF(K927&lt;30, "Young Adult","Adult")</f>
        <v>Young Adult</v>
      </c>
      <c r="K927" s="4">
        <v>22</v>
      </c>
      <c r="L927" s="4" t="s">
        <v>8</v>
      </c>
      <c r="M927" s="4">
        <v>1</v>
      </c>
      <c r="N927" s="5">
        <v>30</v>
      </c>
      <c r="O927">
        <f>(M927*N927)</f>
        <v>30</v>
      </c>
      <c r="P927">
        <f>O927*$S$3</f>
        <v>0.44999999999999996</v>
      </c>
      <c r="Q927">
        <f>O927*$S$4</f>
        <v>0.6</v>
      </c>
    </row>
    <row r="928" spans="1:17">
      <c r="A928" s="2">
        <v>927</v>
      </c>
      <c r="B928" s="4">
        <f>DAY(G928)</f>
        <v>24</v>
      </c>
      <c r="C928">
        <f>MONTH(G928)</f>
        <v>6</v>
      </c>
      <c r="D928">
        <f>YEAR(G928)</f>
        <v>2023</v>
      </c>
      <c r="E928" t="str">
        <f>TEXT(G928,"DDDD")</f>
        <v>Saturday</v>
      </c>
      <c r="F928" t="str">
        <f>TEXT(G928,"MMMM")</f>
        <v>June</v>
      </c>
      <c r="G928" s="3">
        <v>45101</v>
      </c>
      <c r="H928" s="4" t="s">
        <v>960</v>
      </c>
      <c r="I928" s="4" t="s">
        <v>4</v>
      </c>
      <c r="J928" s="4" t="str">
        <f>IF(K928&lt;30, "Young Adult","Adult")</f>
        <v>Adult</v>
      </c>
      <c r="K928" s="4">
        <v>43</v>
      </c>
      <c r="L928" s="4" t="s">
        <v>8</v>
      </c>
      <c r="M928" s="4">
        <v>4</v>
      </c>
      <c r="N928" s="5">
        <v>500</v>
      </c>
      <c r="O928">
        <f>(M928*N928)</f>
        <v>2000</v>
      </c>
      <c r="P928">
        <f>O928*$S$3</f>
        <v>30</v>
      </c>
      <c r="Q928">
        <f>O928*$S$4</f>
        <v>40</v>
      </c>
    </row>
    <row r="929" spans="1:17">
      <c r="A929" s="2">
        <v>928</v>
      </c>
      <c r="B929" s="4">
        <f>DAY(G929)</f>
        <v>5</v>
      </c>
      <c r="C929">
        <f>MONTH(G929)</f>
        <v>4</v>
      </c>
      <c r="D929">
        <f>YEAR(G929)</f>
        <v>2023</v>
      </c>
      <c r="E929" t="str">
        <f>TEXT(G929,"DDDD")</f>
        <v>Wednesday</v>
      </c>
      <c r="F929" t="str">
        <f>TEXT(G929,"MMMM")</f>
        <v>April</v>
      </c>
      <c r="G929" s="3">
        <v>45021</v>
      </c>
      <c r="H929" s="4" t="s">
        <v>961</v>
      </c>
      <c r="I929" s="4" t="s">
        <v>3</v>
      </c>
      <c r="J929" s="4" t="str">
        <f>IF(K929&lt;30, "Young Adult","Adult")</f>
        <v>Adult</v>
      </c>
      <c r="K929" s="4">
        <v>35</v>
      </c>
      <c r="L929" s="4" t="s">
        <v>7</v>
      </c>
      <c r="M929" s="4">
        <v>4</v>
      </c>
      <c r="N929" s="5">
        <v>300</v>
      </c>
      <c r="O929">
        <f>(M929*N929)</f>
        <v>1200</v>
      </c>
      <c r="P929">
        <f>O929*$S$3</f>
        <v>18</v>
      </c>
      <c r="Q929">
        <f>O929*$S$4</f>
        <v>24</v>
      </c>
    </row>
    <row r="930" spans="1:17">
      <c r="A930" s="2">
        <v>929</v>
      </c>
      <c r="B930" s="4">
        <f>DAY(G930)</f>
        <v>27</v>
      </c>
      <c r="C930">
        <f>MONTH(G930)</f>
        <v>1</v>
      </c>
      <c r="D930">
        <f>YEAR(G930)</f>
        <v>2023</v>
      </c>
      <c r="E930" t="str">
        <f>TEXT(G930,"DDDD")</f>
        <v>Friday</v>
      </c>
      <c r="F930" t="str">
        <f>TEXT(G930,"MMMM")</f>
        <v>January</v>
      </c>
      <c r="G930" s="3">
        <v>44953</v>
      </c>
      <c r="H930" s="4" t="s">
        <v>962</v>
      </c>
      <c r="I930" s="4" t="s">
        <v>3</v>
      </c>
      <c r="J930" s="4" t="str">
        <f>IF(K930&lt;30, "Young Adult","Adult")</f>
        <v>Young Adult</v>
      </c>
      <c r="K930" s="4">
        <v>23</v>
      </c>
      <c r="L930" s="4" t="s">
        <v>6</v>
      </c>
      <c r="M930" s="4">
        <v>3</v>
      </c>
      <c r="N930" s="5">
        <v>25</v>
      </c>
      <c r="O930">
        <f>(M930*N930)</f>
        <v>75</v>
      </c>
      <c r="P930">
        <f>O930*$S$3</f>
        <v>1.125</v>
      </c>
      <c r="Q930">
        <f>O930*$S$4</f>
        <v>1.5</v>
      </c>
    </row>
    <row r="931" spans="1:17">
      <c r="A931" s="2">
        <v>930</v>
      </c>
      <c r="B931" s="4">
        <f>DAY(G931)</f>
        <v>10</v>
      </c>
      <c r="C931">
        <f>MONTH(G931)</f>
        <v>5</v>
      </c>
      <c r="D931">
        <f>YEAR(G931)</f>
        <v>2023</v>
      </c>
      <c r="E931" t="str">
        <f>TEXT(G931,"DDDD")</f>
        <v>Wednesday</v>
      </c>
      <c r="F931" t="str">
        <f>TEXT(G931,"MMMM")</f>
        <v>May</v>
      </c>
      <c r="G931" s="3">
        <v>45056</v>
      </c>
      <c r="H931" s="4" t="s">
        <v>963</v>
      </c>
      <c r="I931" s="4" t="s">
        <v>4</v>
      </c>
      <c r="J931" s="4" t="str">
        <f>IF(K931&lt;30, "Young Adult","Adult")</f>
        <v>Adult</v>
      </c>
      <c r="K931" s="4">
        <v>54</v>
      </c>
      <c r="L931" s="4" t="s">
        <v>7</v>
      </c>
      <c r="M931" s="4">
        <v>4</v>
      </c>
      <c r="N931" s="5">
        <v>50</v>
      </c>
      <c r="O931">
        <f>(M931*N931)</f>
        <v>200</v>
      </c>
      <c r="P931">
        <f>O931*$S$3</f>
        <v>3</v>
      </c>
      <c r="Q931">
        <f>O931*$S$4</f>
        <v>4</v>
      </c>
    </row>
    <row r="932" spans="1:17">
      <c r="A932" s="2">
        <v>931</v>
      </c>
      <c r="B932" s="4">
        <f>DAY(G932)</f>
        <v>2</v>
      </c>
      <c r="C932">
        <f>MONTH(G932)</f>
        <v>9</v>
      </c>
      <c r="D932">
        <f>YEAR(G932)</f>
        <v>2023</v>
      </c>
      <c r="E932" t="str">
        <f>TEXT(G932,"DDDD")</f>
        <v>Saturday</v>
      </c>
      <c r="F932" t="str">
        <f>TEXT(G932,"MMMM")</f>
        <v>September</v>
      </c>
      <c r="G932" s="3">
        <v>45171</v>
      </c>
      <c r="H932" s="4" t="s">
        <v>964</v>
      </c>
      <c r="I932" s="4" t="s">
        <v>4</v>
      </c>
      <c r="J932" s="4" t="str">
        <f>IF(K932&lt;30, "Young Adult","Adult")</f>
        <v>Adult</v>
      </c>
      <c r="K932" s="4">
        <v>30</v>
      </c>
      <c r="L932" s="4" t="s">
        <v>6</v>
      </c>
      <c r="M932" s="4">
        <v>4</v>
      </c>
      <c r="N932" s="5">
        <v>30</v>
      </c>
      <c r="O932">
        <f>(M932*N932)</f>
        <v>120</v>
      </c>
      <c r="P932">
        <f>O932*$S$3</f>
        <v>1.7999999999999998</v>
      </c>
      <c r="Q932">
        <f>O932*$S$4</f>
        <v>2.4</v>
      </c>
    </row>
    <row r="933" spans="1:17">
      <c r="A933" s="2">
        <v>932</v>
      </c>
      <c r="B933" s="4">
        <f>DAY(G933)</f>
        <v>28</v>
      </c>
      <c r="C933">
        <f>MONTH(G933)</f>
        <v>2</v>
      </c>
      <c r="D933">
        <f>YEAR(G933)</f>
        <v>2023</v>
      </c>
      <c r="E933" t="str">
        <f>TEXT(G933,"DDDD")</f>
        <v>Tuesday</v>
      </c>
      <c r="F933" t="str">
        <f>TEXT(G933,"MMMM")</f>
        <v>February</v>
      </c>
      <c r="G933" s="3">
        <v>44985</v>
      </c>
      <c r="H933" s="4" t="s">
        <v>965</v>
      </c>
      <c r="I933" s="4" t="s">
        <v>3</v>
      </c>
      <c r="J933" s="4" t="str">
        <f>IF(K933&lt;30, "Young Adult","Adult")</f>
        <v>Adult</v>
      </c>
      <c r="K933" s="4">
        <v>45</v>
      </c>
      <c r="L933" s="4" t="s">
        <v>6</v>
      </c>
      <c r="M933" s="4">
        <v>4</v>
      </c>
      <c r="N933" s="5">
        <v>25</v>
      </c>
      <c r="O933">
        <f>(M933*N933)</f>
        <v>100</v>
      </c>
      <c r="P933">
        <f>O933*$S$3</f>
        <v>1.5</v>
      </c>
      <c r="Q933">
        <f>O933*$S$4</f>
        <v>2</v>
      </c>
    </row>
    <row r="934" spans="1:17">
      <c r="A934" s="2">
        <v>933</v>
      </c>
      <c r="B934" s="4">
        <f>DAY(G934)</f>
        <v>3</v>
      </c>
      <c r="C934">
        <f>MONTH(G934)</f>
        <v>2</v>
      </c>
      <c r="D934">
        <f>YEAR(G934)</f>
        <v>2023</v>
      </c>
      <c r="E934" t="str">
        <f>TEXT(G934,"DDDD")</f>
        <v>Friday</v>
      </c>
      <c r="F934" t="str">
        <f>TEXT(G934,"MMMM")</f>
        <v>February</v>
      </c>
      <c r="G934" s="3">
        <v>44960</v>
      </c>
      <c r="H934" s="4" t="s">
        <v>966</v>
      </c>
      <c r="I934" s="4" t="s">
        <v>4</v>
      </c>
      <c r="J934" s="4" t="str">
        <f>IF(K934&lt;30, "Young Adult","Adult")</f>
        <v>Young Adult</v>
      </c>
      <c r="K934" s="4">
        <v>22</v>
      </c>
      <c r="L934" s="4" t="s">
        <v>6</v>
      </c>
      <c r="M934" s="4">
        <v>1</v>
      </c>
      <c r="N934" s="5">
        <v>30</v>
      </c>
      <c r="O934">
        <f>(M934*N934)</f>
        <v>30</v>
      </c>
      <c r="P934">
        <f>O934*$S$3</f>
        <v>0.44999999999999996</v>
      </c>
      <c r="Q934">
        <f>O934*$S$4</f>
        <v>0.6</v>
      </c>
    </row>
    <row r="935" spans="1:17">
      <c r="A935" s="2">
        <v>934</v>
      </c>
      <c r="B935" s="4">
        <f>DAY(G935)</f>
        <v>25</v>
      </c>
      <c r="C935">
        <f>MONTH(G935)</f>
        <v>7</v>
      </c>
      <c r="D935">
        <f>YEAR(G935)</f>
        <v>2023</v>
      </c>
      <c r="E935" t="str">
        <f>TEXT(G935,"DDDD")</f>
        <v>Tuesday</v>
      </c>
      <c r="F935" t="str">
        <f>TEXT(G935,"MMMM")</f>
        <v>July</v>
      </c>
      <c r="G935" s="3">
        <v>45132</v>
      </c>
      <c r="H935" s="4" t="s">
        <v>967</v>
      </c>
      <c r="I935" s="4" t="s">
        <v>4</v>
      </c>
      <c r="J935" s="4" t="str">
        <f>IF(K935&lt;30, "Young Adult","Adult")</f>
        <v>Adult</v>
      </c>
      <c r="K935" s="4">
        <v>30</v>
      </c>
      <c r="L935" s="4" t="s">
        <v>6</v>
      </c>
      <c r="M935" s="4">
        <v>1</v>
      </c>
      <c r="N935" s="5">
        <v>500</v>
      </c>
      <c r="O935">
        <f>(M935*N935)</f>
        <v>500</v>
      </c>
      <c r="P935">
        <f>O935*$S$3</f>
        <v>7.5</v>
      </c>
      <c r="Q935">
        <f>O935*$S$4</f>
        <v>10</v>
      </c>
    </row>
    <row r="936" spans="1:17">
      <c r="A936" s="2">
        <v>935</v>
      </c>
      <c r="B936" s="4">
        <f>DAY(G936)</f>
        <v>9</v>
      </c>
      <c r="C936">
        <f>MONTH(G936)</f>
        <v>9</v>
      </c>
      <c r="D936">
        <f>YEAR(G936)</f>
        <v>2023</v>
      </c>
      <c r="E936" t="str">
        <f>TEXT(G936,"DDDD")</f>
        <v>Saturday</v>
      </c>
      <c r="F936" t="str">
        <f>TEXT(G936,"MMMM")</f>
        <v>September</v>
      </c>
      <c r="G936" s="3">
        <v>45178</v>
      </c>
      <c r="H936" s="4" t="s">
        <v>968</v>
      </c>
      <c r="I936" s="4" t="s">
        <v>3</v>
      </c>
      <c r="J936" s="4" t="str">
        <f>IF(K936&lt;30, "Young Adult","Adult")</f>
        <v>Adult</v>
      </c>
      <c r="K936" s="4">
        <v>34</v>
      </c>
      <c r="L936" s="4" t="s">
        <v>6</v>
      </c>
      <c r="M936" s="4">
        <v>1</v>
      </c>
      <c r="N936" s="5">
        <v>50</v>
      </c>
      <c r="O936">
        <f>(M936*N936)</f>
        <v>50</v>
      </c>
      <c r="P936">
        <f>O936*$S$3</f>
        <v>0.75</v>
      </c>
      <c r="Q936">
        <f>O936*$S$4</f>
        <v>1</v>
      </c>
    </row>
    <row r="937" spans="1:17">
      <c r="A937" s="2">
        <v>936</v>
      </c>
      <c r="B937" s="4">
        <f>DAY(G937)</f>
        <v>7</v>
      </c>
      <c r="C937">
        <f>MONTH(G937)</f>
        <v>2</v>
      </c>
      <c r="D937">
        <f>YEAR(G937)</f>
        <v>2023</v>
      </c>
      <c r="E937" t="str">
        <f>TEXT(G937,"DDDD")</f>
        <v>Tuesday</v>
      </c>
      <c r="F937" t="str">
        <f>TEXT(G937,"MMMM")</f>
        <v>February</v>
      </c>
      <c r="G937" s="3">
        <v>44964</v>
      </c>
      <c r="H937" s="4" t="s">
        <v>969</v>
      </c>
      <c r="I937" s="4" t="s">
        <v>4</v>
      </c>
      <c r="J937" s="4" t="str">
        <f>IF(K937&lt;30, "Young Adult","Adult")</f>
        <v>Adult</v>
      </c>
      <c r="K937" s="4">
        <v>57</v>
      </c>
      <c r="L937" s="4" t="s">
        <v>6</v>
      </c>
      <c r="M937" s="4">
        <v>4</v>
      </c>
      <c r="N937" s="5">
        <v>50</v>
      </c>
      <c r="O937">
        <f>(M937*N937)</f>
        <v>200</v>
      </c>
      <c r="P937">
        <f>O937*$S$3</f>
        <v>3</v>
      </c>
      <c r="Q937">
        <f>O937*$S$4</f>
        <v>4</v>
      </c>
    </row>
    <row r="938" spans="1:17">
      <c r="A938" s="2">
        <v>937</v>
      </c>
      <c r="B938" s="4">
        <f>DAY(G938)</f>
        <v>23</v>
      </c>
      <c r="C938">
        <f>MONTH(G938)</f>
        <v>10</v>
      </c>
      <c r="D938">
        <f>YEAR(G938)</f>
        <v>2023</v>
      </c>
      <c r="E938" t="str">
        <f>TEXT(G938,"DDDD")</f>
        <v>Monday</v>
      </c>
      <c r="F938" t="str">
        <f>TEXT(G938,"MMMM")</f>
        <v>October</v>
      </c>
      <c r="G938" s="3">
        <v>45222</v>
      </c>
      <c r="H938" s="4" t="s">
        <v>970</v>
      </c>
      <c r="I938" s="4" t="s">
        <v>3</v>
      </c>
      <c r="J938" s="4" t="str">
        <f>IF(K938&lt;30, "Young Adult","Adult")</f>
        <v>Adult</v>
      </c>
      <c r="K938" s="4">
        <v>62</v>
      </c>
      <c r="L938" s="4" t="s">
        <v>6</v>
      </c>
      <c r="M938" s="4">
        <v>1</v>
      </c>
      <c r="N938" s="5">
        <v>500</v>
      </c>
      <c r="O938">
        <f>(M938*N938)</f>
        <v>500</v>
      </c>
      <c r="P938">
        <f>O938*$S$3</f>
        <v>7.5</v>
      </c>
      <c r="Q938">
        <f>O938*$S$4</f>
        <v>10</v>
      </c>
    </row>
    <row r="939" spans="1:17">
      <c r="A939" s="2">
        <v>938</v>
      </c>
      <c r="B939" s="4">
        <f>DAY(G939)</f>
        <v>19</v>
      </c>
      <c r="C939">
        <f>MONTH(G939)</f>
        <v>11</v>
      </c>
      <c r="D939">
        <f>YEAR(G939)</f>
        <v>2023</v>
      </c>
      <c r="E939" t="str">
        <f>TEXT(G939,"DDDD")</f>
        <v>Sunday</v>
      </c>
      <c r="F939" t="str">
        <f>TEXT(G939,"MMMM")</f>
        <v>November</v>
      </c>
      <c r="G939" s="3">
        <v>45249</v>
      </c>
      <c r="H939" s="4" t="s">
        <v>971</v>
      </c>
      <c r="I939" s="4" t="s">
        <v>4</v>
      </c>
      <c r="J939" s="4" t="str">
        <f>IF(K939&lt;30, "Young Adult","Adult")</f>
        <v>Adult</v>
      </c>
      <c r="K939" s="4">
        <v>49</v>
      </c>
      <c r="L939" s="4" t="s">
        <v>7</v>
      </c>
      <c r="M939" s="4">
        <v>4</v>
      </c>
      <c r="N939" s="5">
        <v>50</v>
      </c>
      <c r="O939">
        <f>(M939*N939)</f>
        <v>200</v>
      </c>
      <c r="P939">
        <f>O939*$S$3</f>
        <v>3</v>
      </c>
      <c r="Q939">
        <f>O939*$S$4</f>
        <v>4</v>
      </c>
    </row>
    <row r="940" spans="1:17">
      <c r="A940" s="2">
        <v>939</v>
      </c>
      <c r="B940" s="4">
        <f>DAY(G940)</f>
        <v>18</v>
      </c>
      <c r="C940">
        <f>MONTH(G940)</f>
        <v>12</v>
      </c>
      <c r="D940">
        <f>YEAR(G940)</f>
        <v>2023</v>
      </c>
      <c r="E940" t="str">
        <f>TEXT(G940,"DDDD")</f>
        <v>Monday</v>
      </c>
      <c r="F940" t="str">
        <f>TEXT(G940,"MMMM")</f>
        <v>December</v>
      </c>
      <c r="G940" s="3">
        <v>45278</v>
      </c>
      <c r="H940" s="4" t="s">
        <v>972</v>
      </c>
      <c r="I940" s="4" t="s">
        <v>3</v>
      </c>
      <c r="J940" s="4" t="str">
        <f>IF(K940&lt;30, "Young Adult","Adult")</f>
        <v>Adult</v>
      </c>
      <c r="K940" s="4">
        <v>46</v>
      </c>
      <c r="L940" s="4" t="s">
        <v>8</v>
      </c>
      <c r="M940" s="4">
        <v>1</v>
      </c>
      <c r="N940" s="5">
        <v>300</v>
      </c>
      <c r="O940">
        <f>(M940*N940)</f>
        <v>300</v>
      </c>
      <c r="P940">
        <f>O940*$S$3</f>
        <v>4.5</v>
      </c>
      <c r="Q940">
        <f>O940*$S$4</f>
        <v>6</v>
      </c>
    </row>
    <row r="941" spans="1:17">
      <c r="A941" s="2">
        <v>940</v>
      </c>
      <c r="B941" s="4">
        <f>DAY(G941)</f>
        <v>28</v>
      </c>
      <c r="C941">
        <f>MONTH(G941)</f>
        <v>1</v>
      </c>
      <c r="D941">
        <f>YEAR(G941)</f>
        <v>2023</v>
      </c>
      <c r="E941" t="str">
        <f>TEXT(G941,"DDDD")</f>
        <v>Saturday</v>
      </c>
      <c r="F941" t="str">
        <f>TEXT(G941,"MMMM")</f>
        <v>January</v>
      </c>
      <c r="G941" s="3">
        <v>44954</v>
      </c>
      <c r="H941" s="4" t="s">
        <v>973</v>
      </c>
      <c r="I941" s="4" t="s">
        <v>3</v>
      </c>
      <c r="J941" s="4" t="str">
        <f>IF(K941&lt;30, "Young Adult","Adult")</f>
        <v>Young Adult</v>
      </c>
      <c r="K941" s="4">
        <v>20</v>
      </c>
      <c r="L941" s="4" t="s">
        <v>8</v>
      </c>
      <c r="M941" s="4">
        <v>1</v>
      </c>
      <c r="N941" s="5">
        <v>30</v>
      </c>
      <c r="O941">
        <f>(M941*N941)</f>
        <v>30</v>
      </c>
      <c r="P941">
        <f>O941*$S$3</f>
        <v>0.44999999999999996</v>
      </c>
      <c r="Q941">
        <f>O941*$S$4</f>
        <v>0.6</v>
      </c>
    </row>
    <row r="942" spans="1:17">
      <c r="A942" s="2">
        <v>941</v>
      </c>
      <c r="B942" s="4">
        <f>DAY(G942)</f>
        <v>19</v>
      </c>
      <c r="C942">
        <f>MONTH(G942)</f>
        <v>3</v>
      </c>
      <c r="D942">
        <f>YEAR(G942)</f>
        <v>2023</v>
      </c>
      <c r="E942" t="str">
        <f>TEXT(G942,"DDDD")</f>
        <v>Sunday</v>
      </c>
      <c r="F942" t="str">
        <f>TEXT(G942,"MMMM")</f>
        <v>March</v>
      </c>
      <c r="G942" s="3">
        <v>45004</v>
      </c>
      <c r="H942" s="4" t="s">
        <v>974</v>
      </c>
      <c r="I942" s="4" t="s">
        <v>3</v>
      </c>
      <c r="J942" s="4" t="str">
        <f>IF(K942&lt;30, "Young Adult","Adult")</f>
        <v>Adult</v>
      </c>
      <c r="K942" s="4">
        <v>57</v>
      </c>
      <c r="L942" s="4" t="s">
        <v>7</v>
      </c>
      <c r="M942" s="4">
        <v>2</v>
      </c>
      <c r="N942" s="5">
        <v>25</v>
      </c>
      <c r="O942">
        <f>(M942*N942)</f>
        <v>50</v>
      </c>
      <c r="P942">
        <f>O942*$S$3</f>
        <v>0.75</v>
      </c>
      <c r="Q942">
        <f>O942*$S$4</f>
        <v>1</v>
      </c>
    </row>
    <row r="943" spans="1:17">
      <c r="A943" s="2">
        <v>942</v>
      </c>
      <c r="B943" s="4">
        <f>DAY(G943)</f>
        <v>18</v>
      </c>
      <c r="C943">
        <f>MONTH(G943)</f>
        <v>3</v>
      </c>
      <c r="D943">
        <f>YEAR(G943)</f>
        <v>2023</v>
      </c>
      <c r="E943" t="str">
        <f>TEXT(G943,"DDDD")</f>
        <v>Saturday</v>
      </c>
      <c r="F943" t="str">
        <f>TEXT(G943,"MMMM")</f>
        <v>March</v>
      </c>
      <c r="G943" s="3">
        <v>45003</v>
      </c>
      <c r="H943" s="4" t="s">
        <v>975</v>
      </c>
      <c r="I943" s="4" t="s">
        <v>4</v>
      </c>
      <c r="J943" s="4" t="str">
        <f>IF(K943&lt;30, "Young Adult","Adult")</f>
        <v>Adult</v>
      </c>
      <c r="K943" s="4">
        <v>51</v>
      </c>
      <c r="L943" s="4" t="s">
        <v>7</v>
      </c>
      <c r="M943" s="4">
        <v>3</v>
      </c>
      <c r="N943" s="5">
        <v>500</v>
      </c>
      <c r="O943">
        <f>(M943*N943)</f>
        <v>1500</v>
      </c>
      <c r="P943">
        <f>O943*$S$3</f>
        <v>22.5</v>
      </c>
      <c r="Q943">
        <f>O943*$S$4</f>
        <v>30</v>
      </c>
    </row>
    <row r="944" spans="1:17">
      <c r="A944" s="2">
        <v>943</v>
      </c>
      <c r="B944" s="4">
        <f>DAY(G944)</f>
        <v>16</v>
      </c>
      <c r="C944">
        <f>MONTH(G944)</f>
        <v>10</v>
      </c>
      <c r="D944">
        <f>YEAR(G944)</f>
        <v>2023</v>
      </c>
      <c r="E944" t="str">
        <f>TEXT(G944,"DDDD")</f>
        <v>Monday</v>
      </c>
      <c r="F944" t="str">
        <f>TEXT(G944,"MMMM")</f>
        <v>October</v>
      </c>
      <c r="G944" s="3">
        <v>45215</v>
      </c>
      <c r="H944" s="4" t="s">
        <v>976</v>
      </c>
      <c r="I944" s="4" t="s">
        <v>3</v>
      </c>
      <c r="J944" s="4" t="str">
        <f>IF(K944&lt;30, "Young Adult","Adult")</f>
        <v>Adult</v>
      </c>
      <c r="K944" s="4">
        <v>57</v>
      </c>
      <c r="L944" s="4" t="s">
        <v>7</v>
      </c>
      <c r="M944" s="4">
        <v>4</v>
      </c>
      <c r="N944" s="5">
        <v>300</v>
      </c>
      <c r="O944">
        <f>(M944*N944)</f>
        <v>1200</v>
      </c>
      <c r="P944">
        <f>O944*$S$3</f>
        <v>18</v>
      </c>
      <c r="Q944">
        <f>O944*$S$4</f>
        <v>24</v>
      </c>
    </row>
    <row r="945" spans="1:17">
      <c r="A945" s="2">
        <v>944</v>
      </c>
      <c r="B945" s="4">
        <f>DAY(G945)</f>
        <v>5</v>
      </c>
      <c r="C945">
        <f>MONTH(G945)</f>
        <v>6</v>
      </c>
      <c r="D945">
        <f>YEAR(G945)</f>
        <v>2023</v>
      </c>
      <c r="E945" t="str">
        <f>TEXT(G945,"DDDD")</f>
        <v>Monday</v>
      </c>
      <c r="F945" t="str">
        <f>TEXT(G945,"MMMM")</f>
        <v>June</v>
      </c>
      <c r="G945" s="3">
        <v>45082</v>
      </c>
      <c r="H945" s="4" t="s">
        <v>977</v>
      </c>
      <c r="I945" s="4" t="s">
        <v>4</v>
      </c>
      <c r="J945" s="4" t="str">
        <f>IF(K945&lt;30, "Young Adult","Adult")</f>
        <v>Adult</v>
      </c>
      <c r="K945" s="4">
        <v>44</v>
      </c>
      <c r="L945" s="4" t="s">
        <v>7</v>
      </c>
      <c r="M945" s="4">
        <v>2</v>
      </c>
      <c r="N945" s="5">
        <v>25</v>
      </c>
      <c r="O945">
        <f>(M945*N945)</f>
        <v>50</v>
      </c>
      <c r="P945">
        <f>O945*$S$3</f>
        <v>0.75</v>
      </c>
      <c r="Q945">
        <f>O945*$S$4</f>
        <v>1</v>
      </c>
    </row>
    <row r="946" spans="1:17">
      <c r="A946" s="2">
        <v>945</v>
      </c>
      <c r="B946" s="4">
        <f>DAY(G946)</f>
        <v>13</v>
      </c>
      <c r="C946">
        <f>MONTH(G946)</f>
        <v>2</v>
      </c>
      <c r="D946">
        <f>YEAR(G946)</f>
        <v>2023</v>
      </c>
      <c r="E946" t="str">
        <f>TEXT(G946,"DDDD")</f>
        <v>Monday</v>
      </c>
      <c r="F946" t="str">
        <f>TEXT(G946,"MMMM")</f>
        <v>February</v>
      </c>
      <c r="G946" s="3">
        <v>44970</v>
      </c>
      <c r="H946" s="4" t="s">
        <v>978</v>
      </c>
      <c r="I946" s="4" t="s">
        <v>4</v>
      </c>
      <c r="J946" s="4" t="str">
        <f>IF(K946&lt;30, "Young Adult","Adult")</f>
        <v>Adult</v>
      </c>
      <c r="K946" s="4">
        <v>30</v>
      </c>
      <c r="L946" s="4" t="s">
        <v>6</v>
      </c>
      <c r="M946" s="4">
        <v>1</v>
      </c>
      <c r="N946" s="5">
        <v>25</v>
      </c>
      <c r="O946">
        <f>(M946*N946)</f>
        <v>25</v>
      </c>
      <c r="P946">
        <f>O946*$S$3</f>
        <v>0.375</v>
      </c>
      <c r="Q946">
        <f>O946*$S$4</f>
        <v>0.5</v>
      </c>
    </row>
    <row r="947" spans="1:17">
      <c r="A947" s="2">
        <v>946</v>
      </c>
      <c r="B947" s="4">
        <f>DAY(G947)</f>
        <v>8</v>
      </c>
      <c r="C947">
        <f>MONTH(G947)</f>
        <v>5</v>
      </c>
      <c r="D947">
        <f>YEAR(G947)</f>
        <v>2023</v>
      </c>
      <c r="E947" t="str">
        <f>TEXT(G947,"DDDD")</f>
        <v>Monday</v>
      </c>
      <c r="F947" t="str">
        <f>TEXT(G947,"MMMM")</f>
        <v>May</v>
      </c>
      <c r="G947" s="3">
        <v>45054</v>
      </c>
      <c r="H947" s="4" t="s">
        <v>979</v>
      </c>
      <c r="I947" s="4" t="s">
        <v>4</v>
      </c>
      <c r="J947" s="4" t="str">
        <f>IF(K947&lt;30, "Young Adult","Adult")</f>
        <v>Adult</v>
      </c>
      <c r="K947" s="4">
        <v>62</v>
      </c>
      <c r="L947" s="4" t="s">
        <v>8</v>
      </c>
      <c r="M947" s="4">
        <v>4</v>
      </c>
      <c r="N947" s="5">
        <v>500</v>
      </c>
      <c r="O947">
        <f>(M947*N947)</f>
        <v>2000</v>
      </c>
      <c r="P947">
        <f>O947*$S$3</f>
        <v>30</v>
      </c>
      <c r="Q947">
        <f>O947*$S$4</f>
        <v>40</v>
      </c>
    </row>
    <row r="948" spans="1:17">
      <c r="A948" s="2">
        <v>947</v>
      </c>
      <c r="B948" s="4">
        <f>DAY(G948)</f>
        <v>2</v>
      </c>
      <c r="C948">
        <f>MONTH(G948)</f>
        <v>3</v>
      </c>
      <c r="D948">
        <f>YEAR(G948)</f>
        <v>2023</v>
      </c>
      <c r="E948" t="str">
        <f>TEXT(G948,"DDDD")</f>
        <v>Thursday</v>
      </c>
      <c r="F948" t="str">
        <f>TEXT(G948,"MMMM")</f>
        <v>March</v>
      </c>
      <c r="G948" s="3">
        <v>44987</v>
      </c>
      <c r="H948" s="4" t="s">
        <v>980</v>
      </c>
      <c r="I948" s="4" t="s">
        <v>4</v>
      </c>
      <c r="J948" s="4" t="str" cm="1">
        <f t="array" ref="J948">_xlfn.IFS(K2&gt;=30,"Senior",K2&gt;=30,"Adult",K2&lt;30,"Young Adult")</f>
        <v>Senior</v>
      </c>
      <c r="K948" s="4">
        <v>50</v>
      </c>
      <c r="L948" s="4" t="s">
        <v>6</v>
      </c>
      <c r="M948" s="4">
        <v>1</v>
      </c>
      <c r="N948" s="5">
        <v>300</v>
      </c>
      <c r="O948">
        <f>(M948*N948)</f>
        <v>300</v>
      </c>
      <c r="P948">
        <f>O948*$S$3</f>
        <v>4.5</v>
      </c>
      <c r="Q948">
        <f>O948*$S$4</f>
        <v>6</v>
      </c>
    </row>
    <row r="949" spans="1:17">
      <c r="A949" s="2">
        <v>948</v>
      </c>
      <c r="B949" s="4">
        <f>DAY(G949)</f>
        <v>13</v>
      </c>
      <c r="C949">
        <f>MONTH(G949)</f>
        <v>10</v>
      </c>
      <c r="D949">
        <f>YEAR(G949)</f>
        <v>2023</v>
      </c>
      <c r="E949" t="str">
        <f>TEXT(G949,"DDDD")</f>
        <v>Friday</v>
      </c>
      <c r="F949" t="str">
        <f>TEXT(G949,"MMMM")</f>
        <v>October</v>
      </c>
      <c r="G949" s="3">
        <v>45212</v>
      </c>
      <c r="H949" s="4" t="s">
        <v>981</v>
      </c>
      <c r="I949" s="4" t="s">
        <v>3</v>
      </c>
      <c r="J949" s="4" t="str">
        <f>IF(K949&lt;30, "Young Adult","Adult")</f>
        <v>Young Adult</v>
      </c>
      <c r="K949" s="4">
        <v>23</v>
      </c>
      <c r="L949" s="4" t="s">
        <v>8</v>
      </c>
      <c r="M949" s="4">
        <v>3</v>
      </c>
      <c r="N949" s="5">
        <v>25</v>
      </c>
      <c r="O949">
        <f>(M949*N949)</f>
        <v>75</v>
      </c>
      <c r="P949">
        <f>O949*$S$3</f>
        <v>1.125</v>
      </c>
      <c r="Q949">
        <f>O949*$S$4</f>
        <v>1.5</v>
      </c>
    </row>
    <row r="950" spans="1:17">
      <c r="A950" s="2">
        <v>949</v>
      </c>
      <c r="B950" s="4">
        <f>DAY(G950)</f>
        <v>2</v>
      </c>
      <c r="C950">
        <f>MONTH(G950)</f>
        <v>8</v>
      </c>
      <c r="D950">
        <f>YEAR(G950)</f>
        <v>2023</v>
      </c>
      <c r="E950" t="str">
        <f>TEXT(G950,"DDDD")</f>
        <v>Wednesday</v>
      </c>
      <c r="F950" t="str">
        <f>TEXT(G950,"MMMM")</f>
        <v>August</v>
      </c>
      <c r="G950" s="3">
        <v>45140</v>
      </c>
      <c r="H950" s="4" t="s">
        <v>982</v>
      </c>
      <c r="I950" s="4" t="s">
        <v>3</v>
      </c>
      <c r="J950" s="4" t="str">
        <f>IF(K950&lt;30, "Young Adult","Adult")</f>
        <v>Adult</v>
      </c>
      <c r="K950" s="4">
        <v>41</v>
      </c>
      <c r="L950" s="4" t="s">
        <v>8</v>
      </c>
      <c r="M950" s="4">
        <v>2</v>
      </c>
      <c r="N950" s="5">
        <v>25</v>
      </c>
      <c r="O950">
        <f>(M950*N950)</f>
        <v>50</v>
      </c>
      <c r="P950">
        <f>O950*$S$3</f>
        <v>0.75</v>
      </c>
      <c r="Q950">
        <f>O950*$S$4</f>
        <v>1</v>
      </c>
    </row>
    <row r="951" spans="1:17">
      <c r="A951" s="2">
        <v>950</v>
      </c>
      <c r="B951" s="4">
        <f>DAY(G951)</f>
        <v>7</v>
      </c>
      <c r="C951">
        <f>MONTH(G951)</f>
        <v>11</v>
      </c>
      <c r="D951">
        <f>YEAR(G951)</f>
        <v>2023</v>
      </c>
      <c r="E951" t="str">
        <f>TEXT(G951,"DDDD")</f>
        <v>Tuesday</v>
      </c>
      <c r="F951" t="str">
        <f>TEXT(G951,"MMMM")</f>
        <v>November</v>
      </c>
      <c r="G951" s="3">
        <v>45237</v>
      </c>
      <c r="H951" s="4" t="s">
        <v>983</v>
      </c>
      <c r="I951" s="4" t="s">
        <v>4</v>
      </c>
      <c r="J951" s="4" t="str">
        <f>IF(K951&lt;30, "Young Adult","Adult")</f>
        <v>Adult</v>
      </c>
      <c r="K951" s="4">
        <v>36</v>
      </c>
      <c r="L951" s="4" t="s">
        <v>7</v>
      </c>
      <c r="M951" s="4">
        <v>3</v>
      </c>
      <c r="N951" s="5">
        <v>300</v>
      </c>
      <c r="O951">
        <f>(M951*N951)</f>
        <v>900</v>
      </c>
      <c r="P951">
        <f>O951*$S$3</f>
        <v>13.5</v>
      </c>
      <c r="Q951">
        <f>O951*$S$4</f>
        <v>18</v>
      </c>
    </row>
    <row r="952" spans="1:17">
      <c r="A952" s="2">
        <v>951</v>
      </c>
      <c r="B952" s="4">
        <f>DAY(G952)</f>
        <v>2</v>
      </c>
      <c r="C952">
        <f>MONTH(G952)</f>
        <v>11</v>
      </c>
      <c r="D952">
        <f>YEAR(G952)</f>
        <v>2023</v>
      </c>
      <c r="E952" t="str">
        <f>TEXT(G952,"DDDD")</f>
        <v>Thursday</v>
      </c>
      <c r="F952" t="str">
        <f>TEXT(G952,"MMMM")</f>
        <v>November</v>
      </c>
      <c r="G952" s="3">
        <v>45232</v>
      </c>
      <c r="H952" s="4" t="s">
        <v>984</v>
      </c>
      <c r="I952" s="4" t="s">
        <v>4</v>
      </c>
      <c r="J952" s="4" t="str">
        <f>IF(K952&lt;30, "Young Adult","Adult")</f>
        <v>Adult</v>
      </c>
      <c r="K952" s="4">
        <v>33</v>
      </c>
      <c r="L952" s="4" t="s">
        <v>6</v>
      </c>
      <c r="M952" s="4">
        <v>2</v>
      </c>
      <c r="N952" s="5">
        <v>50</v>
      </c>
      <c r="O952">
        <f>(M952*N952)</f>
        <v>100</v>
      </c>
      <c r="P952">
        <f>O952*$S$3</f>
        <v>1.5</v>
      </c>
      <c r="Q952">
        <f>O952*$S$4</f>
        <v>2</v>
      </c>
    </row>
    <row r="953" spans="1:17">
      <c r="A953" s="2">
        <v>952</v>
      </c>
      <c r="B953" s="4">
        <f>DAY(G953)</f>
        <v>13</v>
      </c>
      <c r="C953">
        <f>MONTH(G953)</f>
        <v>11</v>
      </c>
      <c r="D953">
        <f>YEAR(G953)</f>
        <v>2023</v>
      </c>
      <c r="E953" t="str">
        <f>TEXT(G953,"DDDD")</f>
        <v>Monday</v>
      </c>
      <c r="F953" t="str">
        <f>TEXT(G953,"MMMM")</f>
        <v>November</v>
      </c>
      <c r="G953" s="3">
        <v>45243</v>
      </c>
      <c r="H953" s="4" t="s">
        <v>985</v>
      </c>
      <c r="I953" s="4" t="s">
        <v>3</v>
      </c>
      <c r="J953" s="4" t="str" cm="1">
        <f t="array" ref="J953">_xlfn.IFS(K2&gt;=30,"Senior",K2&gt;=30,"Adult",K2&lt;30,"Young Adult")</f>
        <v>Senior</v>
      </c>
      <c r="K953" s="4">
        <v>57</v>
      </c>
      <c r="L953" s="4" t="s">
        <v>7</v>
      </c>
      <c r="M953" s="4">
        <v>1</v>
      </c>
      <c r="N953" s="5">
        <v>25</v>
      </c>
      <c r="O953">
        <f>(M953*N953)</f>
        <v>25</v>
      </c>
      <c r="P953">
        <f>O953*$S$3</f>
        <v>0.375</v>
      </c>
      <c r="Q953">
        <f>O953*$S$4</f>
        <v>0.5</v>
      </c>
    </row>
    <row r="954" spans="1:17">
      <c r="A954" s="2">
        <v>953</v>
      </c>
      <c r="B954" s="4">
        <f>DAY(G954)</f>
        <v>26</v>
      </c>
      <c r="C954">
        <f>MONTH(G954)</f>
        <v>4</v>
      </c>
      <c r="D954">
        <f>YEAR(G954)</f>
        <v>2023</v>
      </c>
      <c r="E954" t="str">
        <f>TEXT(G954,"DDDD")</f>
        <v>Wednesday</v>
      </c>
      <c r="F954" t="str">
        <f>TEXT(G954,"MMMM")</f>
        <v>April</v>
      </c>
      <c r="G954" s="3">
        <v>45042</v>
      </c>
      <c r="H954" s="4" t="s">
        <v>986</v>
      </c>
      <c r="I954" s="4" t="s">
        <v>4</v>
      </c>
      <c r="J954" s="4" t="str">
        <f>IF(K954&lt;30, "Young Adult","Adult")</f>
        <v>Adult</v>
      </c>
      <c r="K954" s="4">
        <v>45</v>
      </c>
      <c r="L954" s="4" t="s">
        <v>6</v>
      </c>
      <c r="M954" s="4">
        <v>3</v>
      </c>
      <c r="N954" s="5">
        <v>30</v>
      </c>
      <c r="O954">
        <f>(M954*N954)</f>
        <v>90</v>
      </c>
      <c r="P954">
        <f>O954*$S$3</f>
        <v>1.3499999999999999</v>
      </c>
      <c r="Q954">
        <f>O954*$S$4</f>
        <v>1.8</v>
      </c>
    </row>
    <row r="955" spans="1:17">
      <c r="A955" s="2">
        <v>954</v>
      </c>
      <c r="B955" s="4">
        <f>DAY(G955)</f>
        <v>25</v>
      </c>
      <c r="C955">
        <f>MONTH(G955)</f>
        <v>9</v>
      </c>
      <c r="D955">
        <f>YEAR(G955)</f>
        <v>2023</v>
      </c>
      <c r="E955" t="str">
        <f>TEXT(G955,"DDDD")</f>
        <v>Monday</v>
      </c>
      <c r="F955" t="str">
        <f>TEXT(G955,"MMMM")</f>
        <v>September</v>
      </c>
      <c r="G955" s="3">
        <v>45194</v>
      </c>
      <c r="H955" s="4" t="s">
        <v>987</v>
      </c>
      <c r="I955" s="4" t="s">
        <v>3</v>
      </c>
      <c r="J955" s="4" t="str" cm="1">
        <f t="array" ref="J955">_xlfn.IFS(K2&gt;=30,"Senior",K2&gt;=30,"Adult",K2&lt;30,"Young Adult")</f>
        <v>Senior</v>
      </c>
      <c r="K955" s="4">
        <v>50</v>
      </c>
      <c r="L955" s="4" t="s">
        <v>8</v>
      </c>
      <c r="M955" s="4">
        <v>3</v>
      </c>
      <c r="N955" s="5">
        <v>300</v>
      </c>
      <c r="O955">
        <f>(M955*N955)</f>
        <v>900</v>
      </c>
      <c r="P955">
        <f>O955*$S$3</f>
        <v>13.5</v>
      </c>
      <c r="Q955">
        <f>O955*$S$4</f>
        <v>18</v>
      </c>
    </row>
    <row r="956" spans="1:17">
      <c r="A956" s="2">
        <v>955</v>
      </c>
      <c r="B956" s="4">
        <f>DAY(G956)</f>
        <v>14</v>
      </c>
      <c r="C956">
        <f>MONTH(G956)</f>
        <v>7</v>
      </c>
      <c r="D956">
        <f>YEAR(G956)</f>
        <v>2023</v>
      </c>
      <c r="E956" t="str">
        <f>TEXT(G956,"DDDD")</f>
        <v>Friday</v>
      </c>
      <c r="F956" t="str">
        <f>TEXT(G956,"MMMM")</f>
        <v>July</v>
      </c>
      <c r="G956" s="3">
        <v>45121</v>
      </c>
      <c r="H956" s="4" t="s">
        <v>988</v>
      </c>
      <c r="I956" s="4" t="s">
        <v>4</v>
      </c>
      <c r="J956" s="4" t="str" cm="1">
        <f t="array" ref="J956">_xlfn.IFS(K2&gt;=30,"Senior",K2&gt;=30,"Adult",K2&lt;30,"Young Adult")</f>
        <v>Senior</v>
      </c>
      <c r="K956" s="4">
        <v>58</v>
      </c>
      <c r="L956" s="4" t="s">
        <v>7</v>
      </c>
      <c r="M956" s="4">
        <v>1</v>
      </c>
      <c r="N956" s="5">
        <v>25</v>
      </c>
      <c r="O956">
        <f>(M956*N956)</f>
        <v>25</v>
      </c>
      <c r="P956">
        <f>O956*$S$3</f>
        <v>0.375</v>
      </c>
      <c r="Q956">
        <f>O956*$S$4</f>
        <v>0.5</v>
      </c>
    </row>
    <row r="957" spans="1:17">
      <c r="A957" s="2">
        <v>956</v>
      </c>
      <c r="B957" s="4">
        <f>DAY(G957)</f>
        <v>19</v>
      </c>
      <c r="C957">
        <f>MONTH(G957)</f>
        <v>8</v>
      </c>
      <c r="D957">
        <f>YEAR(G957)</f>
        <v>2023</v>
      </c>
      <c r="E957" t="str">
        <f>TEXT(G957,"DDDD")</f>
        <v>Saturday</v>
      </c>
      <c r="F957" t="str">
        <f>TEXT(G957,"MMMM")</f>
        <v>August</v>
      </c>
      <c r="G957" s="3">
        <v>45157</v>
      </c>
      <c r="H957" s="4" t="s">
        <v>989</v>
      </c>
      <c r="I957" s="4" t="s">
        <v>4</v>
      </c>
      <c r="J957" s="4" t="str">
        <f>IF(K957&lt;30, "Young Adult","Adult")</f>
        <v>Adult</v>
      </c>
      <c r="K957" s="4">
        <v>30</v>
      </c>
      <c r="L957" s="4" t="s">
        <v>7</v>
      </c>
      <c r="M957" s="4">
        <v>3</v>
      </c>
      <c r="N957" s="5">
        <v>500</v>
      </c>
      <c r="O957">
        <f>(M957*N957)</f>
        <v>1500</v>
      </c>
      <c r="P957">
        <f>O957*$S$3</f>
        <v>22.5</v>
      </c>
      <c r="Q957">
        <f>O957*$S$4</f>
        <v>30</v>
      </c>
    </row>
    <row r="958" spans="1:17">
      <c r="A958" s="2">
        <v>957</v>
      </c>
      <c r="B958" s="4">
        <f>DAY(G958)</f>
        <v>15</v>
      </c>
      <c r="C958">
        <f>MONTH(G958)</f>
        <v>8</v>
      </c>
      <c r="D958">
        <f>YEAR(G958)</f>
        <v>2023</v>
      </c>
      <c r="E958" t="str">
        <f>TEXT(G958,"DDDD")</f>
        <v>Tuesday</v>
      </c>
      <c r="F958" t="str">
        <f>TEXT(G958,"MMMM")</f>
        <v>August</v>
      </c>
      <c r="G958" s="3">
        <v>45153</v>
      </c>
      <c r="H958" s="4" t="s">
        <v>990</v>
      </c>
      <c r="I958" s="4" t="s">
        <v>3</v>
      </c>
      <c r="J958" s="4" t="str" cm="1">
        <f t="array" ref="J958">_xlfn.IFS(K2&gt;=30,"Senior",K2&gt;=30,"Adult",K2&lt;30,"Young Adult")</f>
        <v>Senior</v>
      </c>
      <c r="K958" s="4">
        <v>60</v>
      </c>
      <c r="L958" s="4" t="s">
        <v>8</v>
      </c>
      <c r="M958" s="4">
        <v>4</v>
      </c>
      <c r="N958" s="5">
        <v>30</v>
      </c>
      <c r="O958">
        <f>(M958*N958)</f>
        <v>120</v>
      </c>
      <c r="P958">
        <f>O958*$S$3</f>
        <v>1.7999999999999998</v>
      </c>
      <c r="Q958">
        <f>O958*$S$4</f>
        <v>2.4</v>
      </c>
    </row>
    <row r="959" spans="1:17">
      <c r="A959" s="2">
        <v>958</v>
      </c>
      <c r="B959" s="4">
        <f>DAY(G959)</f>
        <v>2</v>
      </c>
      <c r="C959">
        <f>MONTH(G959)</f>
        <v>6</v>
      </c>
      <c r="D959">
        <f>YEAR(G959)</f>
        <v>2023</v>
      </c>
      <c r="E959" t="str">
        <f>TEXT(G959,"DDDD")</f>
        <v>Friday</v>
      </c>
      <c r="F959" t="str">
        <f>TEXT(G959,"MMMM")</f>
        <v>June</v>
      </c>
      <c r="G959" s="3">
        <v>45079</v>
      </c>
      <c r="H959" s="4" t="s">
        <v>991</v>
      </c>
      <c r="I959" s="4" t="s">
        <v>4</v>
      </c>
      <c r="J959" s="4" t="str" cm="1">
        <f t="array" ref="J959">_xlfn.IFS(K2&gt;=30,"Senior",K2&gt;=30,"Adult",K2&lt;30,"Young Adult")</f>
        <v>Senior</v>
      </c>
      <c r="K959" s="4">
        <v>62</v>
      </c>
      <c r="L959" s="4" t="s">
        <v>8</v>
      </c>
      <c r="M959" s="4">
        <v>2</v>
      </c>
      <c r="N959" s="5">
        <v>25</v>
      </c>
      <c r="O959">
        <f>(M959*N959)</f>
        <v>50</v>
      </c>
      <c r="P959">
        <f>O959*$S$3</f>
        <v>0.75</v>
      </c>
      <c r="Q959">
        <f>O959*$S$4</f>
        <v>1</v>
      </c>
    </row>
    <row r="960" spans="1:17">
      <c r="A960" s="2">
        <v>959</v>
      </c>
      <c r="B960" s="4">
        <f>DAY(G960)</f>
        <v>29</v>
      </c>
      <c r="C960">
        <f>MONTH(G960)</f>
        <v>10</v>
      </c>
      <c r="D960">
        <f>YEAR(G960)</f>
        <v>2023</v>
      </c>
      <c r="E960" t="str">
        <f>TEXT(G960,"DDDD")</f>
        <v>Sunday</v>
      </c>
      <c r="F960" t="str">
        <f>TEXT(G960,"MMMM")</f>
        <v>October</v>
      </c>
      <c r="G960" s="3">
        <v>45228</v>
      </c>
      <c r="H960" s="4" t="s">
        <v>992</v>
      </c>
      <c r="I960" s="4" t="s">
        <v>3</v>
      </c>
      <c r="J960" s="4" t="str">
        <f>IF(K960&lt;30, "Young Adult","Adult")</f>
        <v>Adult</v>
      </c>
      <c r="K960" s="4">
        <v>42</v>
      </c>
      <c r="L960" s="4" t="s">
        <v>8</v>
      </c>
      <c r="M960" s="4">
        <v>2</v>
      </c>
      <c r="N960" s="5">
        <v>30</v>
      </c>
      <c r="O960">
        <f>(M960*N960)</f>
        <v>60</v>
      </c>
      <c r="P960">
        <f>O960*$S$3</f>
        <v>0.89999999999999991</v>
      </c>
      <c r="Q960">
        <f>O960*$S$4</f>
        <v>1.2</v>
      </c>
    </row>
    <row r="961" spans="1:17">
      <c r="A961" s="2">
        <v>960</v>
      </c>
      <c r="B961" s="4">
        <f>DAY(G961)</f>
        <v>8</v>
      </c>
      <c r="C961">
        <f>MONTH(G961)</f>
        <v>8</v>
      </c>
      <c r="D961">
        <f>YEAR(G961)</f>
        <v>2023</v>
      </c>
      <c r="E961" t="str">
        <f>TEXT(G961,"DDDD")</f>
        <v>Tuesday</v>
      </c>
      <c r="F961" t="str">
        <f>TEXT(G961,"MMMM")</f>
        <v>August</v>
      </c>
      <c r="G961" s="3">
        <v>45146</v>
      </c>
      <c r="H961" s="4" t="s">
        <v>993</v>
      </c>
      <c r="I961" s="4" t="s">
        <v>4</v>
      </c>
      <c r="J961" s="4" t="str" cm="1">
        <f t="array" ref="J961">_xlfn.IFS(K2&gt;=30,"Senior",K2&gt;=30,"Adult",K2&lt;30,"Young Adult")</f>
        <v>Senior</v>
      </c>
      <c r="K961" s="4">
        <v>59</v>
      </c>
      <c r="L961" s="4" t="s">
        <v>7</v>
      </c>
      <c r="M961" s="4">
        <v>2</v>
      </c>
      <c r="N961" s="5">
        <v>30</v>
      </c>
      <c r="O961">
        <f>(M961*N961)</f>
        <v>60</v>
      </c>
      <c r="P961">
        <f>O961*$S$3</f>
        <v>0.89999999999999991</v>
      </c>
      <c r="Q961">
        <f>O961*$S$4</f>
        <v>1.2</v>
      </c>
    </row>
    <row r="962" spans="1:17">
      <c r="A962" s="2">
        <v>961</v>
      </c>
      <c r="B962" s="4">
        <f>DAY(G962)</f>
        <v>6</v>
      </c>
      <c r="C962">
        <f>MONTH(G962)</f>
        <v>6</v>
      </c>
      <c r="D962">
        <f>YEAR(G962)</f>
        <v>2023</v>
      </c>
      <c r="E962" t="str">
        <f>TEXT(G962,"DDDD")</f>
        <v>Tuesday</v>
      </c>
      <c r="F962" t="str">
        <f>TEXT(G962,"MMMM")</f>
        <v>June</v>
      </c>
      <c r="G962" s="3">
        <v>45083</v>
      </c>
      <c r="H962" s="4" t="s">
        <v>994</v>
      </c>
      <c r="I962" s="4" t="s">
        <v>4</v>
      </c>
      <c r="J962" s="4" t="str" cm="1">
        <f t="array" ref="J962">_xlfn.IFS(K2&gt;=30,"Senior",K2&gt;=30,"Adult",K2&lt;30,"Young Adult")</f>
        <v>Senior</v>
      </c>
      <c r="K962" s="4">
        <v>53</v>
      </c>
      <c r="L962" s="4" t="s">
        <v>6</v>
      </c>
      <c r="M962" s="4">
        <v>4</v>
      </c>
      <c r="N962" s="5">
        <v>50</v>
      </c>
      <c r="O962">
        <f>(M962*N962)</f>
        <v>200</v>
      </c>
      <c r="P962">
        <f>O962*$S$3</f>
        <v>3</v>
      </c>
      <c r="Q962">
        <f>O962*$S$4</f>
        <v>4</v>
      </c>
    </row>
    <row r="963" spans="1:17">
      <c r="A963" s="2">
        <v>962</v>
      </c>
      <c r="B963" s="4">
        <f>DAY(G963)</f>
        <v>19</v>
      </c>
      <c r="C963">
        <f>MONTH(G963)</f>
        <v>10</v>
      </c>
      <c r="D963">
        <f>YEAR(G963)</f>
        <v>2023</v>
      </c>
      <c r="E963" t="str">
        <f>TEXT(G963,"DDDD")</f>
        <v>Thursday</v>
      </c>
      <c r="F963" t="str">
        <f>TEXT(G963,"MMMM")</f>
        <v>October</v>
      </c>
      <c r="G963" s="3">
        <v>45218</v>
      </c>
      <c r="H963" s="4" t="s">
        <v>995</v>
      </c>
      <c r="I963" s="4" t="s">
        <v>4</v>
      </c>
      <c r="J963" s="4" t="str">
        <f>IF(K963&lt;30, "Young Adult","Adult")</f>
        <v>Adult</v>
      </c>
      <c r="K963" s="4">
        <v>44</v>
      </c>
      <c r="L963" s="4" t="s">
        <v>7</v>
      </c>
      <c r="M963" s="4">
        <v>2</v>
      </c>
      <c r="N963" s="5">
        <v>30</v>
      </c>
      <c r="O963">
        <f>(M963*N963)</f>
        <v>60</v>
      </c>
      <c r="P963">
        <f>O963*$S$3</f>
        <v>0.89999999999999991</v>
      </c>
      <c r="Q963">
        <f>O963*$S$4</f>
        <v>1.2</v>
      </c>
    </row>
    <row r="964" spans="1:17">
      <c r="A964" s="2">
        <v>963</v>
      </c>
      <c r="B964" s="4">
        <f>DAY(G964)</f>
        <v>14</v>
      </c>
      <c r="C964">
        <f>MONTH(G964)</f>
        <v>11</v>
      </c>
      <c r="D964">
        <f>YEAR(G964)</f>
        <v>2023</v>
      </c>
      <c r="E964" t="str">
        <f>TEXT(G964,"DDDD")</f>
        <v>Tuesday</v>
      </c>
      <c r="F964" t="str">
        <f>TEXT(G964,"MMMM")</f>
        <v>November</v>
      </c>
      <c r="G964" s="3">
        <v>45244</v>
      </c>
      <c r="H964" s="4" t="s">
        <v>996</v>
      </c>
      <c r="I964" s="4" t="s">
        <v>3</v>
      </c>
      <c r="J964" s="4" t="str" cm="1">
        <f t="array" ref="J964">_xlfn.IFS(K2&gt;=30,"Senior",K2&gt;=30,"Adult",K2&lt;30,"Young Adult")</f>
        <v>Senior</v>
      </c>
      <c r="K964" s="4">
        <v>55</v>
      </c>
      <c r="L964" s="4" t="s">
        <v>6</v>
      </c>
      <c r="M964" s="4">
        <v>1</v>
      </c>
      <c r="N964" s="5">
        <v>50</v>
      </c>
      <c r="O964">
        <f>(M964*N964)</f>
        <v>50</v>
      </c>
      <c r="P964">
        <f>O964*$S$3</f>
        <v>0.75</v>
      </c>
      <c r="Q964">
        <f>O964*$S$4</f>
        <v>1</v>
      </c>
    </row>
    <row r="965" spans="1:17">
      <c r="A965" s="2">
        <v>964</v>
      </c>
      <c r="B965" s="4">
        <f>DAY(G965)</f>
        <v>31</v>
      </c>
      <c r="C965">
        <f>MONTH(G965)</f>
        <v>1</v>
      </c>
      <c r="D965">
        <f>YEAR(G965)</f>
        <v>2023</v>
      </c>
      <c r="E965" t="str">
        <f>TEXT(G965,"DDDD")</f>
        <v>Tuesday</v>
      </c>
      <c r="F965" t="str">
        <f>TEXT(G965,"MMMM")</f>
        <v>January</v>
      </c>
      <c r="G965" s="3">
        <v>44957</v>
      </c>
      <c r="H965" s="4" t="s">
        <v>997</v>
      </c>
      <c r="I965" s="4" t="s">
        <v>4</v>
      </c>
      <c r="J965" s="4" t="str">
        <f>IF(K965&lt;30, "Young Adult","Adult")</f>
        <v>Young Adult</v>
      </c>
      <c r="K965" s="4">
        <v>24</v>
      </c>
      <c r="L965" s="4" t="s">
        <v>7</v>
      </c>
      <c r="M965" s="4">
        <v>3</v>
      </c>
      <c r="N965" s="5">
        <v>300</v>
      </c>
      <c r="O965">
        <f>(M965*N965)</f>
        <v>900</v>
      </c>
      <c r="P965">
        <f>O965*$S$3</f>
        <v>13.5</v>
      </c>
      <c r="Q965">
        <f>O965*$S$4</f>
        <v>18</v>
      </c>
    </row>
    <row r="966" spans="1:17">
      <c r="A966" s="2">
        <v>965</v>
      </c>
      <c r="B966" s="4">
        <f>DAY(G966)</f>
        <v>9</v>
      </c>
      <c r="C966">
        <f>MONTH(G966)</f>
        <v>11</v>
      </c>
      <c r="D966">
        <f>YEAR(G966)</f>
        <v>2023</v>
      </c>
      <c r="E966" t="str">
        <f>TEXT(G966,"DDDD")</f>
        <v>Thursday</v>
      </c>
      <c r="F966" t="str">
        <f>TEXT(G966,"MMMM")</f>
        <v>November</v>
      </c>
      <c r="G966" s="3">
        <v>45239</v>
      </c>
      <c r="H966" s="4" t="s">
        <v>998</v>
      </c>
      <c r="I966" s="4" t="s">
        <v>4</v>
      </c>
      <c r="J966" s="4" t="str">
        <f>IF(K966&lt;30, "Young Adult","Adult")</f>
        <v>Young Adult</v>
      </c>
      <c r="K966" s="4">
        <v>22</v>
      </c>
      <c r="L966" s="4" t="s">
        <v>7</v>
      </c>
      <c r="M966" s="4">
        <v>4</v>
      </c>
      <c r="N966" s="5">
        <v>50</v>
      </c>
      <c r="O966">
        <f>(M966*N966)</f>
        <v>200</v>
      </c>
      <c r="P966">
        <f>O966*$S$3</f>
        <v>3</v>
      </c>
      <c r="Q966">
        <f>O966*$S$4</f>
        <v>4</v>
      </c>
    </row>
    <row r="967" spans="1:17">
      <c r="A967" s="2">
        <v>966</v>
      </c>
      <c r="B967" s="4">
        <f>DAY(G967)</f>
        <v>20</v>
      </c>
      <c r="C967">
        <f>MONTH(G967)</f>
        <v>2</v>
      </c>
      <c r="D967">
        <f>YEAR(G967)</f>
        <v>2023</v>
      </c>
      <c r="E967" t="str">
        <f>TEXT(G967,"DDDD")</f>
        <v>Monday</v>
      </c>
      <c r="F967" t="str">
        <f>TEXT(G967,"MMMM")</f>
        <v>February</v>
      </c>
      <c r="G967" s="3">
        <v>44977</v>
      </c>
      <c r="H967" s="4" t="s">
        <v>999</v>
      </c>
      <c r="I967" s="4" t="s">
        <v>4</v>
      </c>
      <c r="J967" s="4" t="str" cm="1">
        <f t="array" ref="J967">_xlfn.IFS(K2&gt;=30,"Senior",K2&gt;=30,"Adult",K2&lt;30,"Young Adult")</f>
        <v>Senior</v>
      </c>
      <c r="K967" s="4">
        <v>60</v>
      </c>
      <c r="L967" s="4" t="s">
        <v>8</v>
      </c>
      <c r="M967" s="4">
        <v>2</v>
      </c>
      <c r="N967" s="5">
        <v>500</v>
      </c>
      <c r="O967">
        <f>(M967*N967)</f>
        <v>1000</v>
      </c>
      <c r="P967">
        <f>O967*$S$3</f>
        <v>15</v>
      </c>
      <c r="Q967">
        <f>O967*$S$4</f>
        <v>20</v>
      </c>
    </row>
    <row r="968" spans="1:17">
      <c r="A968" s="2">
        <v>967</v>
      </c>
      <c r="B968" s="4">
        <f>DAY(G968)</f>
        <v>17</v>
      </c>
      <c r="C968">
        <f>MONTH(G968)</f>
        <v>4</v>
      </c>
      <c r="D968">
        <f>YEAR(G968)</f>
        <v>2023</v>
      </c>
      <c r="E968" t="str">
        <f>TEXT(G968,"DDDD")</f>
        <v>Monday</v>
      </c>
      <c r="F968" t="str">
        <f>TEXT(G968,"MMMM")</f>
        <v>April</v>
      </c>
      <c r="G968" s="3">
        <v>45033</v>
      </c>
      <c r="H968" s="4" t="s">
        <v>1000</v>
      </c>
      <c r="I968" s="4" t="s">
        <v>4</v>
      </c>
      <c r="J968" s="4" t="str" cm="1">
        <f t="array" ref="J968">_xlfn.IFS(K2&gt;=30,"Senior",K2&gt;=30,"Adult",K2&lt;30,"Young Adult")</f>
        <v>Senior</v>
      </c>
      <c r="K968" s="4">
        <v>62</v>
      </c>
      <c r="L968" s="4" t="s">
        <v>6</v>
      </c>
      <c r="M968" s="4">
        <v>1</v>
      </c>
      <c r="N968" s="5">
        <v>25</v>
      </c>
      <c r="O968">
        <f>(M968*N968)</f>
        <v>25</v>
      </c>
      <c r="P968">
        <f>O968*$S$3</f>
        <v>0.375</v>
      </c>
      <c r="Q968">
        <f>O968*$S$4</f>
        <v>0.5</v>
      </c>
    </row>
    <row r="969" spans="1:17">
      <c r="A969" s="2">
        <v>968</v>
      </c>
      <c r="B969" s="4">
        <f>DAY(G969)</f>
        <v>17</v>
      </c>
      <c r="C969">
        <f>MONTH(G969)</f>
        <v>11</v>
      </c>
      <c r="D969">
        <f>YEAR(G969)</f>
        <v>2023</v>
      </c>
      <c r="E969" t="str">
        <f>TEXT(G969,"DDDD")</f>
        <v>Friday</v>
      </c>
      <c r="F969" t="str">
        <f>TEXT(G969,"MMMM")</f>
        <v>November</v>
      </c>
      <c r="G969" s="3">
        <v>45247</v>
      </c>
      <c r="H969" s="4" t="s">
        <v>1001</v>
      </c>
      <c r="I969" s="4" t="s">
        <v>3</v>
      </c>
      <c r="J969" s="4" t="str">
        <f>IF(K969&lt;30, "Young Adult","Adult")</f>
        <v>Adult</v>
      </c>
      <c r="K969" s="4">
        <v>48</v>
      </c>
      <c r="L969" s="4" t="s">
        <v>7</v>
      </c>
      <c r="M969" s="4">
        <v>3</v>
      </c>
      <c r="N969" s="5">
        <v>300</v>
      </c>
      <c r="O969">
        <f>(M969*N969)</f>
        <v>900</v>
      </c>
      <c r="P969">
        <f>O969*$S$3</f>
        <v>13.5</v>
      </c>
      <c r="Q969">
        <f>O969*$S$4</f>
        <v>18</v>
      </c>
    </row>
    <row r="970" spans="1:17">
      <c r="A970" s="2">
        <v>969</v>
      </c>
      <c r="B970" s="4">
        <f>DAY(G970)</f>
        <v>19</v>
      </c>
      <c r="C970">
        <f>MONTH(G970)</f>
        <v>4</v>
      </c>
      <c r="D970">
        <f>YEAR(G970)</f>
        <v>2023</v>
      </c>
      <c r="E970" t="str">
        <f>TEXT(G970,"DDDD")</f>
        <v>Wednesday</v>
      </c>
      <c r="F970" t="str">
        <f>TEXT(G970,"MMMM")</f>
        <v>April</v>
      </c>
      <c r="G970" s="3">
        <v>45035</v>
      </c>
      <c r="H970" s="4" t="s">
        <v>1002</v>
      </c>
      <c r="I970" s="4" t="s">
        <v>3</v>
      </c>
      <c r="J970" s="4" t="str">
        <f>IF(K970&lt;30, "Young Adult","Adult")</f>
        <v>Adult</v>
      </c>
      <c r="K970" s="4">
        <v>40</v>
      </c>
      <c r="L970" s="4" t="s">
        <v>7</v>
      </c>
      <c r="M970" s="4">
        <v>3</v>
      </c>
      <c r="N970" s="5">
        <v>300</v>
      </c>
      <c r="O970">
        <f>(M970*N970)</f>
        <v>900</v>
      </c>
      <c r="P970">
        <f>O970*$S$3</f>
        <v>13.5</v>
      </c>
      <c r="Q970">
        <f>O970*$S$4</f>
        <v>18</v>
      </c>
    </row>
    <row r="971" spans="1:17">
      <c r="A971" s="2">
        <v>970</v>
      </c>
      <c r="B971" s="4">
        <f>DAY(G971)</f>
        <v>16</v>
      </c>
      <c r="C971">
        <f>MONTH(G971)</f>
        <v>5</v>
      </c>
      <c r="D971">
        <f>YEAR(G971)</f>
        <v>2023</v>
      </c>
      <c r="E971" t="str">
        <f>TEXT(G971,"DDDD")</f>
        <v>Tuesday</v>
      </c>
      <c r="F971" t="str">
        <f>TEXT(G971,"MMMM")</f>
        <v>May</v>
      </c>
      <c r="G971" s="3">
        <v>45062</v>
      </c>
      <c r="H971" s="4" t="s">
        <v>1003</v>
      </c>
      <c r="I971" s="4" t="s">
        <v>4</v>
      </c>
      <c r="J971" s="4" t="str" cm="1">
        <f t="array" ref="J971">_xlfn.IFS(K2&gt;=30,"Senior",K2&gt;=30,"Adult",K2&lt;30,"Young Adult")</f>
        <v>Senior</v>
      </c>
      <c r="K971" s="4">
        <v>59</v>
      </c>
      <c r="L971" s="4" t="s">
        <v>8</v>
      </c>
      <c r="M971" s="4">
        <v>4</v>
      </c>
      <c r="N971" s="5">
        <v>500</v>
      </c>
      <c r="O971">
        <f>(M971*N971)</f>
        <v>2000</v>
      </c>
      <c r="P971">
        <f>O971*$S$3</f>
        <v>30</v>
      </c>
      <c r="Q971">
        <f>O971*$S$4</f>
        <v>40</v>
      </c>
    </row>
    <row r="972" spans="1:17">
      <c r="A972" s="2">
        <v>971</v>
      </c>
      <c r="B972" s="4">
        <f>DAY(G972)</f>
        <v>5</v>
      </c>
      <c r="C972">
        <f>MONTH(G972)</f>
        <v>12</v>
      </c>
      <c r="D972">
        <f>YEAR(G972)</f>
        <v>2023</v>
      </c>
      <c r="E972" t="str">
        <f>TEXT(G972,"DDDD")</f>
        <v>Tuesday</v>
      </c>
      <c r="F972" t="str">
        <f>TEXT(G972,"MMMM")</f>
        <v>December</v>
      </c>
      <c r="G972" s="3">
        <v>45265</v>
      </c>
      <c r="H972" s="4" t="s">
        <v>1004</v>
      </c>
      <c r="I972" s="4" t="s">
        <v>3</v>
      </c>
      <c r="J972" s="4" t="str">
        <f>IF(K972&lt;30, "Young Adult","Adult")</f>
        <v>Young Adult</v>
      </c>
      <c r="K972" s="4">
        <v>27</v>
      </c>
      <c r="L972" s="4" t="s">
        <v>8</v>
      </c>
      <c r="M972" s="4">
        <v>4</v>
      </c>
      <c r="N972" s="5">
        <v>50</v>
      </c>
      <c r="O972">
        <f>(M972*N972)</f>
        <v>200</v>
      </c>
      <c r="P972">
        <f>O972*$S$3</f>
        <v>3</v>
      </c>
      <c r="Q972">
        <f>O972*$S$4</f>
        <v>4</v>
      </c>
    </row>
    <row r="973" spans="1:17">
      <c r="A973" s="2">
        <v>972</v>
      </c>
      <c r="B973" s="4">
        <f>DAY(G973)</f>
        <v>11</v>
      </c>
      <c r="C973">
        <f>MONTH(G973)</f>
        <v>2</v>
      </c>
      <c r="D973">
        <f>YEAR(G973)</f>
        <v>2023</v>
      </c>
      <c r="E973" t="str">
        <f>TEXT(G973,"DDDD")</f>
        <v>Saturday</v>
      </c>
      <c r="F973" t="str">
        <f>TEXT(G973,"MMMM")</f>
        <v>February</v>
      </c>
      <c r="G973" s="3">
        <v>44968</v>
      </c>
      <c r="H973" s="4" t="s">
        <v>1005</v>
      </c>
      <c r="I973" s="4" t="s">
        <v>4</v>
      </c>
      <c r="J973" s="4" t="str">
        <f>IF(K973&lt;30, "Young Adult","Adult")</f>
        <v>Adult</v>
      </c>
      <c r="K973" s="4">
        <v>49</v>
      </c>
      <c r="L973" s="4" t="s">
        <v>6</v>
      </c>
      <c r="M973" s="4">
        <v>4</v>
      </c>
      <c r="N973" s="5">
        <v>25</v>
      </c>
      <c r="O973">
        <f>(M973*N973)</f>
        <v>100</v>
      </c>
      <c r="P973">
        <f>O973*$S$3</f>
        <v>1.5</v>
      </c>
      <c r="Q973">
        <f>O973*$S$4</f>
        <v>2</v>
      </c>
    </row>
    <row r="974" spans="1:17">
      <c r="A974" s="2">
        <v>973</v>
      </c>
      <c r="B974" s="4">
        <f>DAY(G974)</f>
        <v>22</v>
      </c>
      <c r="C974">
        <f>MONTH(G974)</f>
        <v>3</v>
      </c>
      <c r="D974">
        <f>YEAR(G974)</f>
        <v>2023</v>
      </c>
      <c r="E974" t="str">
        <f>TEXT(G974,"DDDD")</f>
        <v>Wednesday</v>
      </c>
      <c r="F974" t="str">
        <f>TEXT(G974,"MMMM")</f>
        <v>March</v>
      </c>
      <c r="G974" s="3">
        <v>45007</v>
      </c>
      <c r="H974" s="4" t="s">
        <v>1006</v>
      </c>
      <c r="I974" s="4" t="s">
        <v>4</v>
      </c>
      <c r="J974" s="4" t="str" cm="1">
        <f t="array" ref="J974">_xlfn.IFS(K2&gt;=30,"Senior",K2&gt;=30,"Adult",K2&lt;30,"Young Adult")</f>
        <v>Senior</v>
      </c>
      <c r="K974" s="4">
        <v>60</v>
      </c>
      <c r="L974" s="4" t="s">
        <v>7</v>
      </c>
      <c r="M974" s="4">
        <v>1</v>
      </c>
      <c r="N974" s="5">
        <v>50</v>
      </c>
      <c r="O974">
        <f>(M974*N974)</f>
        <v>50</v>
      </c>
      <c r="P974">
        <f>O974*$S$3</f>
        <v>0.75</v>
      </c>
      <c r="Q974">
        <f>O974*$S$4</f>
        <v>1</v>
      </c>
    </row>
    <row r="975" spans="1:17">
      <c r="A975" s="2">
        <v>974</v>
      </c>
      <c r="B975" s="4">
        <f>DAY(G975)</f>
        <v>3</v>
      </c>
      <c r="C975">
        <f>MONTH(G975)</f>
        <v>5</v>
      </c>
      <c r="D975">
        <f>YEAR(G975)</f>
        <v>2023</v>
      </c>
      <c r="E975" t="str">
        <f>TEXT(G975,"DDDD")</f>
        <v>Wednesday</v>
      </c>
      <c r="F975" t="str">
        <f>TEXT(G975,"MMMM")</f>
        <v>May</v>
      </c>
      <c r="G975" s="3">
        <v>45049</v>
      </c>
      <c r="H975" s="4" t="s">
        <v>1007</v>
      </c>
      <c r="I975" s="4" t="s">
        <v>4</v>
      </c>
      <c r="J975" s="4" t="str">
        <f>IF(K975&lt;30, "Young Adult","Adult")</f>
        <v>Adult</v>
      </c>
      <c r="K975" s="4">
        <v>47</v>
      </c>
      <c r="L975" s="4" t="s">
        <v>6</v>
      </c>
      <c r="M975" s="4">
        <v>1</v>
      </c>
      <c r="N975" s="5">
        <v>30</v>
      </c>
      <c r="O975">
        <f>(M975*N975)</f>
        <v>30</v>
      </c>
      <c r="P975">
        <f>O975*$S$3</f>
        <v>0.44999999999999996</v>
      </c>
      <c r="Q975">
        <f>O975*$S$4</f>
        <v>0.6</v>
      </c>
    </row>
    <row r="976" spans="1:17">
      <c r="A976" s="2">
        <v>975</v>
      </c>
      <c r="B976" s="4">
        <f>DAY(G976)</f>
        <v>30</v>
      </c>
      <c r="C976">
        <f>MONTH(G976)</f>
        <v>3</v>
      </c>
      <c r="D976">
        <f>YEAR(G976)</f>
        <v>2023</v>
      </c>
      <c r="E976" t="str">
        <f>TEXT(G976,"DDDD")</f>
        <v>Thursday</v>
      </c>
      <c r="F976" t="str">
        <f>TEXT(G976,"MMMM")</f>
        <v>March</v>
      </c>
      <c r="G976" s="3">
        <v>45015</v>
      </c>
      <c r="H976" s="4" t="s">
        <v>1008</v>
      </c>
      <c r="I976" s="4" t="s">
        <v>3</v>
      </c>
      <c r="J976" s="4" t="str" cm="1">
        <f t="array" ref="J976">_xlfn.IFS(K2&gt;=30,"Senior",K2&gt;=30,"Adult",K2&lt;30,"Young Adult")</f>
        <v>Senior</v>
      </c>
      <c r="K976" s="4">
        <v>56</v>
      </c>
      <c r="L976" s="4" t="s">
        <v>7</v>
      </c>
      <c r="M976" s="4">
        <v>4</v>
      </c>
      <c r="N976" s="5">
        <v>50</v>
      </c>
      <c r="O976">
        <f>(M976*N976)</f>
        <v>200</v>
      </c>
      <c r="P976">
        <f>O976*$S$3</f>
        <v>3</v>
      </c>
      <c r="Q976">
        <f>O976*$S$4</f>
        <v>4</v>
      </c>
    </row>
    <row r="977" spans="1:17">
      <c r="A977" s="2">
        <v>976</v>
      </c>
      <c r="B977" s="4">
        <f>DAY(G977)</f>
        <v>10</v>
      </c>
      <c r="C977">
        <f>MONTH(G977)</f>
        <v>10</v>
      </c>
      <c r="D977">
        <f>YEAR(G977)</f>
        <v>2023</v>
      </c>
      <c r="E977" t="str">
        <f>TEXT(G977,"DDDD")</f>
        <v>Tuesday</v>
      </c>
      <c r="F977" t="str">
        <f>TEXT(G977,"MMMM")</f>
        <v>October</v>
      </c>
      <c r="G977" s="3">
        <v>45209</v>
      </c>
      <c r="H977" s="4" t="s">
        <v>1009</v>
      </c>
      <c r="I977" s="4" t="s">
        <v>3</v>
      </c>
      <c r="J977" s="4" t="str">
        <f>IF(K977&lt;30, "Young Adult","Adult")</f>
        <v>Adult</v>
      </c>
      <c r="K977" s="4">
        <v>48</v>
      </c>
      <c r="L977" s="4" t="s">
        <v>6</v>
      </c>
      <c r="M977" s="4">
        <v>2</v>
      </c>
      <c r="N977" s="5">
        <v>300</v>
      </c>
      <c r="O977">
        <f>(M977*N977)</f>
        <v>600</v>
      </c>
      <c r="P977">
        <f>O977*$S$3</f>
        <v>9</v>
      </c>
      <c r="Q977">
        <f>O977*$S$4</f>
        <v>12</v>
      </c>
    </row>
    <row r="978" spans="1:17">
      <c r="A978" s="2">
        <v>977</v>
      </c>
      <c r="B978" s="4">
        <f>DAY(G978)</f>
        <v>8</v>
      </c>
      <c r="C978">
        <f>MONTH(G978)</f>
        <v>2</v>
      </c>
      <c r="D978">
        <f>YEAR(G978)</f>
        <v>2023</v>
      </c>
      <c r="E978" t="str">
        <f>TEXT(G978,"DDDD")</f>
        <v>Wednesday</v>
      </c>
      <c r="F978" t="str">
        <f>TEXT(G978,"MMMM")</f>
        <v>February</v>
      </c>
      <c r="G978" s="3">
        <v>44965</v>
      </c>
      <c r="H978" s="4" t="s">
        <v>1010</v>
      </c>
      <c r="I978" s="4" t="s">
        <v>3</v>
      </c>
      <c r="J978" s="4" t="str">
        <f>IF(K978&lt;30, "Young Adult","Adult")</f>
        <v>Adult</v>
      </c>
      <c r="K978" s="4">
        <v>35</v>
      </c>
      <c r="L978" s="4" t="s">
        <v>8</v>
      </c>
      <c r="M978" s="4">
        <v>3</v>
      </c>
      <c r="N978" s="5">
        <v>25</v>
      </c>
      <c r="O978">
        <f>(M978*N978)</f>
        <v>75</v>
      </c>
      <c r="P978">
        <f>O978*$S$3</f>
        <v>1.125</v>
      </c>
      <c r="Q978">
        <f>O978*$S$4</f>
        <v>1.5</v>
      </c>
    </row>
    <row r="979" spans="1:17">
      <c r="A979" s="2">
        <v>978</v>
      </c>
      <c r="B979" s="4">
        <f>DAY(G979)</f>
        <v>22</v>
      </c>
      <c r="C979">
        <f>MONTH(G979)</f>
        <v>3</v>
      </c>
      <c r="D979">
        <f>YEAR(G979)</f>
        <v>2023</v>
      </c>
      <c r="E979" t="str">
        <f>TEXT(G979,"DDDD")</f>
        <v>Wednesday</v>
      </c>
      <c r="F979" t="str">
        <f>TEXT(G979,"MMMM")</f>
        <v>March</v>
      </c>
      <c r="G979" s="3">
        <v>45007</v>
      </c>
      <c r="H979" s="4" t="s">
        <v>1011</v>
      </c>
      <c r="I979" s="4" t="s">
        <v>3</v>
      </c>
      <c r="J979" s="4" t="str" cm="1">
        <f t="array" ref="J979">_xlfn.IFS(K2&gt;=30,"Senior",K2&gt;=30,"Adult",K2&lt;30,"Young Adult")</f>
        <v>Senior</v>
      </c>
      <c r="K979" s="4">
        <v>53</v>
      </c>
      <c r="L979" s="4" t="s">
        <v>7</v>
      </c>
      <c r="M979" s="4">
        <v>3</v>
      </c>
      <c r="N979" s="5">
        <v>50</v>
      </c>
      <c r="O979">
        <f>(M979*N979)</f>
        <v>150</v>
      </c>
      <c r="P979">
        <f>O979*$S$3</f>
        <v>2.25</v>
      </c>
      <c r="Q979">
        <f>O979*$S$4</f>
        <v>3</v>
      </c>
    </row>
    <row r="980" spans="1:17">
      <c r="A980" s="2">
        <v>979</v>
      </c>
      <c r="B980" s="4">
        <f>DAY(G980)</f>
        <v>2</v>
      </c>
      <c r="C980">
        <f>MONTH(G980)</f>
        <v>1</v>
      </c>
      <c r="D980">
        <f>YEAR(G980)</f>
        <v>2023</v>
      </c>
      <c r="E980" t="str">
        <f>TEXT(G980,"DDDD")</f>
        <v>Monday</v>
      </c>
      <c r="F980" t="str">
        <f>TEXT(G980,"MMMM")</f>
        <v>January</v>
      </c>
      <c r="G980" s="3">
        <v>44928</v>
      </c>
      <c r="H980" s="4" t="s">
        <v>1012</v>
      </c>
      <c r="I980" s="4" t="s">
        <v>3</v>
      </c>
      <c r="J980" s="4" t="str">
        <f>IF(K980&lt;30, "Young Adult","Adult")</f>
        <v>Young Adult</v>
      </c>
      <c r="K980" s="4">
        <v>19</v>
      </c>
      <c r="L980" s="4" t="s">
        <v>6</v>
      </c>
      <c r="M980" s="4">
        <v>1</v>
      </c>
      <c r="N980" s="5">
        <v>25</v>
      </c>
      <c r="O980">
        <f>(M980*N980)</f>
        <v>25</v>
      </c>
      <c r="P980">
        <f>O980*$S$3</f>
        <v>0.375</v>
      </c>
      <c r="Q980">
        <f>O980*$S$4</f>
        <v>0.5</v>
      </c>
    </row>
    <row r="981" spans="1:17">
      <c r="A981" s="2">
        <v>980</v>
      </c>
      <c r="B981" s="4">
        <f>DAY(G981)</f>
        <v>29</v>
      </c>
      <c r="C981">
        <f>MONTH(G981)</f>
        <v>7</v>
      </c>
      <c r="D981">
        <f>YEAR(G981)</f>
        <v>2023</v>
      </c>
      <c r="E981" t="str">
        <f>TEXT(G981,"DDDD")</f>
        <v>Saturday</v>
      </c>
      <c r="F981" t="str">
        <f>TEXT(G981,"MMMM")</f>
        <v>July</v>
      </c>
      <c r="G981" s="3">
        <v>45136</v>
      </c>
      <c r="H981" s="4" t="s">
        <v>1013</v>
      </c>
      <c r="I981" s="4" t="s">
        <v>3</v>
      </c>
      <c r="J981" s="4" t="str">
        <f>IF(K981&lt;30, "Young Adult","Adult")</f>
        <v>Adult</v>
      </c>
      <c r="K981" s="4">
        <v>31</v>
      </c>
      <c r="L981" s="4" t="s">
        <v>8</v>
      </c>
      <c r="M981" s="4">
        <v>3</v>
      </c>
      <c r="N981" s="5">
        <v>25</v>
      </c>
      <c r="O981">
        <f>(M981*N981)</f>
        <v>75</v>
      </c>
      <c r="P981">
        <f>O981*$S$3</f>
        <v>1.125</v>
      </c>
      <c r="Q981">
        <f>O981*$S$4</f>
        <v>1.5</v>
      </c>
    </row>
    <row r="982" spans="1:17">
      <c r="A982" s="2">
        <v>981</v>
      </c>
      <c r="B982" s="4">
        <f>DAY(G982)</f>
        <v>19</v>
      </c>
      <c r="C982">
        <f>MONTH(G982)</f>
        <v>8</v>
      </c>
      <c r="D982">
        <f>YEAR(G982)</f>
        <v>2023</v>
      </c>
      <c r="E982" t="str">
        <f>TEXT(G982,"DDDD")</f>
        <v>Saturday</v>
      </c>
      <c r="F982" t="str">
        <f>TEXT(G982,"MMMM")</f>
        <v>August</v>
      </c>
      <c r="G982" s="3">
        <v>45157</v>
      </c>
      <c r="H982" s="4" t="s">
        <v>1014</v>
      </c>
      <c r="I982" s="4" t="s">
        <v>3</v>
      </c>
      <c r="J982" s="4" t="str">
        <f>IF(K982&lt;30, "Young Adult","Adult")</f>
        <v>Adult</v>
      </c>
      <c r="K982" s="4">
        <v>30</v>
      </c>
      <c r="L982" s="4" t="s">
        <v>8</v>
      </c>
      <c r="M982" s="4">
        <v>2</v>
      </c>
      <c r="N982" s="5">
        <v>30</v>
      </c>
      <c r="O982">
        <f>(M982*N982)</f>
        <v>60</v>
      </c>
      <c r="P982">
        <f>O982*$S$3</f>
        <v>0.89999999999999991</v>
      </c>
      <c r="Q982">
        <f>O982*$S$4</f>
        <v>1.2</v>
      </c>
    </row>
    <row r="983" spans="1:17">
      <c r="A983" s="2">
        <v>982</v>
      </c>
      <c r="B983" s="4">
        <f>DAY(G983)</f>
        <v>19</v>
      </c>
      <c r="C983">
        <f>MONTH(G983)</f>
        <v>12</v>
      </c>
      <c r="D983">
        <f>YEAR(G983)</f>
        <v>2023</v>
      </c>
      <c r="E983" t="str">
        <f>TEXT(G983,"DDDD")</f>
        <v>Tuesday</v>
      </c>
      <c r="F983" t="str">
        <f>TEXT(G983,"MMMM")</f>
        <v>December</v>
      </c>
      <c r="G983" s="3">
        <v>45279</v>
      </c>
      <c r="H983" s="4" t="s">
        <v>1015</v>
      </c>
      <c r="I983" s="4" t="s">
        <v>3</v>
      </c>
      <c r="J983" s="4" t="str">
        <f>IF(K983&lt;30, "Young Adult","Adult")</f>
        <v>Adult</v>
      </c>
      <c r="K983" s="4">
        <v>46</v>
      </c>
      <c r="L983" s="4" t="s">
        <v>6</v>
      </c>
      <c r="M983" s="4">
        <v>3</v>
      </c>
      <c r="N983" s="5">
        <v>30</v>
      </c>
      <c r="O983">
        <f>(M983*N983)</f>
        <v>90</v>
      </c>
      <c r="P983">
        <f>O983*$S$3</f>
        <v>1.3499999999999999</v>
      </c>
      <c r="Q983">
        <f>O983*$S$4</f>
        <v>1.8</v>
      </c>
    </row>
    <row r="984" spans="1:17">
      <c r="A984" s="2">
        <v>983</v>
      </c>
      <c r="B984" s="4">
        <f>DAY(G984)</f>
        <v>1</v>
      </c>
      <c r="C984">
        <f>MONTH(G984)</f>
        <v>11</v>
      </c>
      <c r="D984">
        <f>YEAR(G984)</f>
        <v>2023</v>
      </c>
      <c r="E984" t="str">
        <f>TEXT(G984,"DDDD")</f>
        <v>Wednesday</v>
      </c>
      <c r="F984" t="str">
        <f>TEXT(G984,"MMMM")</f>
        <v>November</v>
      </c>
      <c r="G984" s="3">
        <v>45231</v>
      </c>
      <c r="H984" s="4" t="s">
        <v>1016</v>
      </c>
      <c r="I984" s="4" t="s">
        <v>3</v>
      </c>
      <c r="J984" s="4" t="str">
        <f>IF(K984&lt;30, "Young Adult","Adult")</f>
        <v>Young Adult</v>
      </c>
      <c r="K984" s="4">
        <v>29</v>
      </c>
      <c r="L984" s="4" t="s">
        <v>7</v>
      </c>
      <c r="M984" s="4">
        <v>1</v>
      </c>
      <c r="N984" s="5">
        <v>300</v>
      </c>
      <c r="O984">
        <f>(M984*N984)</f>
        <v>300</v>
      </c>
      <c r="P984">
        <f>O984*$S$3</f>
        <v>4.5</v>
      </c>
      <c r="Q984">
        <f>O984*$S$4</f>
        <v>6</v>
      </c>
    </row>
    <row r="985" spans="1:17">
      <c r="A985" s="2">
        <v>984</v>
      </c>
      <c r="B985" s="4">
        <f>DAY(G985)</f>
        <v>29</v>
      </c>
      <c r="C985">
        <f>MONTH(G985)</f>
        <v>8</v>
      </c>
      <c r="D985">
        <f>YEAR(G985)</f>
        <v>2023</v>
      </c>
      <c r="E985" t="str">
        <f>TEXT(G985,"DDDD")</f>
        <v>Tuesday</v>
      </c>
      <c r="F985" t="str">
        <f>TEXT(G985,"MMMM")</f>
        <v>August</v>
      </c>
      <c r="G985" s="3">
        <v>45167</v>
      </c>
      <c r="H985" s="4" t="s">
        <v>1017</v>
      </c>
      <c r="I985" s="4" t="s">
        <v>4</v>
      </c>
      <c r="J985" s="4" t="str" cm="1">
        <f t="array" ref="J985">_xlfn.IFS(K2&gt;=30,"Senior",K2&gt;=30,"Adult",K2&lt;30,"Young Adult")</f>
        <v>Senior</v>
      </c>
      <c r="K985" s="4">
        <v>56</v>
      </c>
      <c r="L985" s="4" t="s">
        <v>7</v>
      </c>
      <c r="M985" s="4">
        <v>1</v>
      </c>
      <c r="N985" s="5">
        <v>500</v>
      </c>
      <c r="O985">
        <f>(M985*N985)</f>
        <v>500</v>
      </c>
      <c r="P985">
        <f>O985*$S$3</f>
        <v>7.5</v>
      </c>
      <c r="Q985">
        <f>O985*$S$4</f>
        <v>10</v>
      </c>
    </row>
    <row r="986" spans="1:17">
      <c r="A986" s="2">
        <v>985</v>
      </c>
      <c r="B986" s="4">
        <f>DAY(G986)</f>
        <v>30</v>
      </c>
      <c r="C986">
        <f>MONTH(G986)</f>
        <v>5</v>
      </c>
      <c r="D986">
        <f>YEAR(G986)</f>
        <v>2023</v>
      </c>
      <c r="E986" t="str">
        <f>TEXT(G986,"DDDD")</f>
        <v>Tuesday</v>
      </c>
      <c r="F986" t="str">
        <f>TEXT(G986,"MMMM")</f>
        <v>May</v>
      </c>
      <c r="G986" s="3">
        <v>45076</v>
      </c>
      <c r="H986" s="4" t="s">
        <v>1018</v>
      </c>
      <c r="I986" s="4" t="s">
        <v>3</v>
      </c>
      <c r="J986" s="4" t="str">
        <f>IF(K986&lt;30, "Young Adult","Adult")</f>
        <v>Young Adult</v>
      </c>
      <c r="K986" s="4">
        <v>19</v>
      </c>
      <c r="L986" s="4" t="s">
        <v>8</v>
      </c>
      <c r="M986" s="4">
        <v>2</v>
      </c>
      <c r="N986" s="5">
        <v>25</v>
      </c>
      <c r="O986">
        <f>(M986*N986)</f>
        <v>50</v>
      </c>
      <c r="P986">
        <f>O986*$S$3</f>
        <v>0.75</v>
      </c>
      <c r="Q986">
        <f>O986*$S$4</f>
        <v>1</v>
      </c>
    </row>
    <row r="987" spans="1:17">
      <c r="A987" s="2">
        <v>986</v>
      </c>
      <c r="B987" s="4">
        <f>DAY(G987)</f>
        <v>17</v>
      </c>
      <c r="C987">
        <f>MONTH(G987)</f>
        <v>1</v>
      </c>
      <c r="D987">
        <f>YEAR(G987)</f>
        <v>2023</v>
      </c>
      <c r="E987" t="str">
        <f>TEXT(G987,"DDDD")</f>
        <v>Tuesday</v>
      </c>
      <c r="F987" t="str">
        <f>TEXT(G987,"MMMM")</f>
        <v>January</v>
      </c>
      <c r="G987" s="3">
        <v>44943</v>
      </c>
      <c r="H987" s="4" t="s">
        <v>1019</v>
      </c>
      <c r="I987" s="4" t="s">
        <v>3</v>
      </c>
      <c r="J987" s="4" t="str">
        <f>IF(K987&lt;30, "Young Adult","Adult")</f>
        <v>Adult</v>
      </c>
      <c r="K987" s="4">
        <v>49</v>
      </c>
      <c r="L987" s="4" t="s">
        <v>7</v>
      </c>
      <c r="M987" s="4">
        <v>2</v>
      </c>
      <c r="N987" s="5">
        <v>500</v>
      </c>
      <c r="O987">
        <f>(M987*N987)</f>
        <v>1000</v>
      </c>
      <c r="P987">
        <f>O987*$S$3</f>
        <v>15</v>
      </c>
      <c r="Q987">
        <f>O987*$S$4</f>
        <v>20</v>
      </c>
    </row>
    <row r="988" spans="1:17">
      <c r="A988" s="2">
        <v>987</v>
      </c>
      <c r="B988" s="4">
        <f>DAY(G988)</f>
        <v>29</v>
      </c>
      <c r="C988">
        <f>MONTH(G988)</f>
        <v>4</v>
      </c>
      <c r="D988">
        <f>YEAR(G988)</f>
        <v>2023</v>
      </c>
      <c r="E988" t="str">
        <f>TEXT(G988,"DDDD")</f>
        <v>Saturday</v>
      </c>
      <c r="F988" t="str">
        <f>TEXT(G988,"MMMM")</f>
        <v>April</v>
      </c>
      <c r="G988" s="3">
        <v>45045</v>
      </c>
      <c r="H988" s="4" t="s">
        <v>1020</v>
      </c>
      <c r="I988" s="4" t="s">
        <v>3</v>
      </c>
      <c r="J988" s="4" t="str">
        <f>IF(K988&lt;30, "Young Adult","Adult")</f>
        <v>Adult</v>
      </c>
      <c r="K988" s="4">
        <v>30</v>
      </c>
      <c r="L988" s="4" t="s">
        <v>7</v>
      </c>
      <c r="M988" s="4">
        <v>3</v>
      </c>
      <c r="N988" s="5">
        <v>300</v>
      </c>
      <c r="O988">
        <f>(M988*N988)</f>
        <v>900</v>
      </c>
      <c r="P988">
        <f>O988*$S$3</f>
        <v>13.5</v>
      </c>
      <c r="Q988">
        <f>O988*$S$4</f>
        <v>18</v>
      </c>
    </row>
    <row r="989" spans="1:17">
      <c r="A989" s="2">
        <v>988</v>
      </c>
      <c r="B989" s="4">
        <f>DAY(G989)</f>
        <v>28</v>
      </c>
      <c r="C989">
        <f>MONTH(G989)</f>
        <v>5</v>
      </c>
      <c r="D989">
        <f>YEAR(G989)</f>
        <v>2023</v>
      </c>
      <c r="E989" t="str">
        <f>TEXT(G989,"DDDD")</f>
        <v>Sunday</v>
      </c>
      <c r="F989" t="str">
        <f>TEXT(G989,"MMMM")</f>
        <v>May</v>
      </c>
      <c r="G989" s="3">
        <v>45074</v>
      </c>
      <c r="H989" s="4" t="s">
        <v>1021</v>
      </c>
      <c r="I989" s="4" t="s">
        <v>3</v>
      </c>
      <c r="J989" s="4" t="str" cm="1">
        <f t="array" ref="J989">_xlfn.IFS(K2&gt;=30,"Senior",K2&gt;=30,"Adult",K2&lt;30,"Young Adult")</f>
        <v>Senior</v>
      </c>
      <c r="K989" s="4">
        <v>63</v>
      </c>
      <c r="L989" s="4" t="s">
        <v>7</v>
      </c>
      <c r="M989" s="4">
        <v>3</v>
      </c>
      <c r="N989" s="5">
        <v>25</v>
      </c>
      <c r="O989">
        <f>(M989*N989)</f>
        <v>75</v>
      </c>
      <c r="P989">
        <f>O989*$S$3</f>
        <v>1.125</v>
      </c>
      <c r="Q989">
        <f>O989*$S$4</f>
        <v>1.5</v>
      </c>
    </row>
    <row r="990" spans="1:17">
      <c r="A990" s="2">
        <v>989</v>
      </c>
      <c r="B990" s="4">
        <f>DAY(G990)</f>
        <v>28</v>
      </c>
      <c r="C990">
        <f>MONTH(G990)</f>
        <v>12</v>
      </c>
      <c r="D990">
        <f>YEAR(G990)</f>
        <v>2023</v>
      </c>
      <c r="E990" t="str">
        <f>TEXT(G990,"DDDD")</f>
        <v>Thursday</v>
      </c>
      <c r="F990" t="str">
        <f>TEXT(G990,"MMMM")</f>
        <v>December</v>
      </c>
      <c r="G990" s="3">
        <v>45288</v>
      </c>
      <c r="H990" s="4" t="s">
        <v>1022</v>
      </c>
      <c r="I990" s="4" t="s">
        <v>3</v>
      </c>
      <c r="J990" s="4" t="str">
        <f>IF(K990&lt;30, "Young Adult","Adult")</f>
        <v>Adult</v>
      </c>
      <c r="K990" s="4">
        <v>44</v>
      </c>
      <c r="L990" s="4" t="s">
        <v>8</v>
      </c>
      <c r="M990" s="4">
        <v>1</v>
      </c>
      <c r="N990" s="5">
        <v>25</v>
      </c>
      <c r="O990">
        <f>(M990*N990)</f>
        <v>25</v>
      </c>
      <c r="P990">
        <f>O990*$S$3</f>
        <v>0.375</v>
      </c>
      <c r="Q990">
        <f>O990*$S$4</f>
        <v>0.5</v>
      </c>
    </row>
    <row r="991" spans="1:17">
      <c r="A991" s="2">
        <v>990</v>
      </c>
      <c r="B991" s="4">
        <f>DAY(G991)</f>
        <v>25</v>
      </c>
      <c r="C991">
        <f>MONTH(G991)</f>
        <v>5</v>
      </c>
      <c r="D991">
        <f>YEAR(G991)</f>
        <v>2023</v>
      </c>
      <c r="E991" t="str">
        <f>TEXT(G991,"DDDD")</f>
        <v>Thursday</v>
      </c>
      <c r="F991" t="str">
        <f>TEXT(G991,"MMMM")</f>
        <v>May</v>
      </c>
      <c r="G991" s="3">
        <v>45071</v>
      </c>
      <c r="H991" s="4" t="s">
        <v>1023</v>
      </c>
      <c r="I991" s="4" t="s">
        <v>3</v>
      </c>
      <c r="J991" s="4" t="str" cm="1">
        <f t="array" ref="J991">_xlfn.IFS(K2&gt;=30,"Senior",K2&gt;=30,"Adult",K2&lt;30,"Young Adult")</f>
        <v>Senior</v>
      </c>
      <c r="K991" s="4">
        <v>58</v>
      </c>
      <c r="L991" s="4" t="s">
        <v>6</v>
      </c>
      <c r="M991" s="4">
        <v>2</v>
      </c>
      <c r="N991" s="5">
        <v>500</v>
      </c>
      <c r="O991">
        <f>(M991*N991)</f>
        <v>1000</v>
      </c>
      <c r="P991">
        <f>O991*$S$3</f>
        <v>15</v>
      </c>
      <c r="Q991">
        <f>O991*$S$4</f>
        <v>20</v>
      </c>
    </row>
    <row r="992" spans="1:17">
      <c r="A992" s="2">
        <v>991</v>
      </c>
      <c r="B992" s="4">
        <f>DAY(G992)</f>
        <v>26</v>
      </c>
      <c r="C992">
        <f>MONTH(G992)</f>
        <v>12</v>
      </c>
      <c r="D992">
        <f>YEAR(G992)</f>
        <v>2023</v>
      </c>
      <c r="E992" t="str">
        <f>TEXT(G992,"DDDD")</f>
        <v>Tuesday</v>
      </c>
      <c r="F992" t="str">
        <f>TEXT(G992,"MMMM")</f>
        <v>December</v>
      </c>
      <c r="G992" s="3">
        <v>45286</v>
      </c>
      <c r="H992" s="4" t="s">
        <v>1024</v>
      </c>
      <c r="I992" s="4" t="s">
        <v>3</v>
      </c>
      <c r="J992" s="4" t="str">
        <f>IF(K992&lt;30, "Young Adult","Adult")</f>
        <v>Adult</v>
      </c>
      <c r="K992" s="4">
        <v>34</v>
      </c>
      <c r="L992" s="4" t="s">
        <v>7</v>
      </c>
      <c r="M992" s="4">
        <v>2</v>
      </c>
      <c r="N992" s="5">
        <v>50</v>
      </c>
      <c r="O992">
        <f>(M992*N992)</f>
        <v>100</v>
      </c>
      <c r="P992">
        <f>O992*$S$3</f>
        <v>1.5</v>
      </c>
      <c r="Q992">
        <f>O992*$S$4</f>
        <v>2</v>
      </c>
    </row>
    <row r="993" spans="1:17">
      <c r="A993" s="2">
        <v>992</v>
      </c>
      <c r="B993" s="4">
        <f>DAY(G993)</f>
        <v>21</v>
      </c>
      <c r="C993">
        <f>MONTH(G993)</f>
        <v>8</v>
      </c>
      <c r="D993">
        <f>YEAR(G993)</f>
        <v>2023</v>
      </c>
      <c r="E993" t="str">
        <f>TEXT(G993,"DDDD")</f>
        <v>Monday</v>
      </c>
      <c r="F993" t="str">
        <f>TEXT(G993,"MMMM")</f>
        <v>August</v>
      </c>
      <c r="G993" s="3">
        <v>45159</v>
      </c>
      <c r="H993" s="4" t="s">
        <v>1025</v>
      </c>
      <c r="I993" s="4" t="s">
        <v>3</v>
      </c>
      <c r="J993" s="4" t="str" cm="1">
        <f t="array" ref="J993">_xlfn.IFS(K2&gt;=30,"Senior",K2&gt;=30,"Adult",K2&lt;30,"Young Adult")</f>
        <v>Senior</v>
      </c>
      <c r="K993" s="4">
        <v>57</v>
      </c>
      <c r="L993" s="4" t="s">
        <v>8</v>
      </c>
      <c r="M993" s="4">
        <v>2</v>
      </c>
      <c r="N993" s="5">
        <v>30</v>
      </c>
      <c r="O993">
        <f>(M993*N993)</f>
        <v>60</v>
      </c>
      <c r="P993">
        <f>O993*$S$3</f>
        <v>0.89999999999999991</v>
      </c>
      <c r="Q993">
        <f>O993*$S$4</f>
        <v>1.2</v>
      </c>
    </row>
    <row r="994" spans="1:17">
      <c r="A994" s="2">
        <v>993</v>
      </c>
      <c r="B994" s="4">
        <f>DAY(G994)</f>
        <v>6</v>
      </c>
      <c r="C994">
        <f>MONTH(G994)</f>
        <v>2</v>
      </c>
      <c r="D994">
        <f>YEAR(G994)</f>
        <v>2023</v>
      </c>
      <c r="E994" t="str">
        <f>TEXT(G994,"DDDD")</f>
        <v>Monday</v>
      </c>
      <c r="F994" t="str">
        <f>TEXT(G994,"MMMM")</f>
        <v>February</v>
      </c>
      <c r="G994" s="3">
        <v>44963</v>
      </c>
      <c r="H994" s="4" t="s">
        <v>1026</v>
      </c>
      <c r="I994" s="4" t="s">
        <v>3</v>
      </c>
      <c r="J994" s="4" t="str">
        <f>IF(K994&lt;30, "Young Adult","Adult")</f>
        <v>Adult</v>
      </c>
      <c r="K994" s="4">
        <v>48</v>
      </c>
      <c r="L994" s="4" t="s">
        <v>8</v>
      </c>
      <c r="M994" s="4">
        <v>3</v>
      </c>
      <c r="N994" s="5">
        <v>50</v>
      </c>
      <c r="O994">
        <f>(M994*N994)</f>
        <v>150</v>
      </c>
      <c r="P994">
        <f>O994*$S$3</f>
        <v>2.25</v>
      </c>
      <c r="Q994">
        <f>O994*$S$4</f>
        <v>3</v>
      </c>
    </row>
    <row r="995" spans="1:17">
      <c r="A995" s="2">
        <v>994</v>
      </c>
      <c r="B995" s="4">
        <f>DAY(G995)</f>
        <v>18</v>
      </c>
      <c r="C995">
        <f>MONTH(G995)</f>
        <v>12</v>
      </c>
      <c r="D995">
        <f>YEAR(G995)</f>
        <v>2023</v>
      </c>
      <c r="E995" t="str">
        <f>TEXT(G995,"DDDD")</f>
        <v>Monday</v>
      </c>
      <c r="F995" t="str">
        <f>TEXT(G995,"MMMM")</f>
        <v>December</v>
      </c>
      <c r="G995" s="3">
        <v>45278</v>
      </c>
      <c r="H995" s="4" t="s">
        <v>1027</v>
      </c>
      <c r="I995" s="4" t="s">
        <v>3</v>
      </c>
      <c r="J995" s="4" t="str" cm="1">
        <f t="array" ref="J995">_xlfn.IFS(K2&gt;=30,"Senior",K2&gt;=30,"Adult",K2&lt;30,"Young Adult")</f>
        <v>Senior</v>
      </c>
      <c r="K995" s="4">
        <v>51</v>
      </c>
      <c r="L995" s="4" t="s">
        <v>6</v>
      </c>
      <c r="M995" s="4">
        <v>2</v>
      </c>
      <c r="N995" s="5">
        <v>500</v>
      </c>
      <c r="O995">
        <f>(M995*N995)</f>
        <v>1000</v>
      </c>
      <c r="P995">
        <f>O995*$S$3</f>
        <v>15</v>
      </c>
      <c r="Q995">
        <f>O995*$S$4</f>
        <v>20</v>
      </c>
    </row>
    <row r="996" spans="1:17">
      <c r="A996" s="2">
        <v>995</v>
      </c>
      <c r="B996" s="4">
        <f>DAY(G996)</f>
        <v>30</v>
      </c>
      <c r="C996">
        <f>MONTH(G996)</f>
        <v>4</v>
      </c>
      <c r="D996">
        <f>YEAR(G996)</f>
        <v>2023</v>
      </c>
      <c r="E996" t="str">
        <f>TEXT(G996,"DDDD")</f>
        <v>Sunday</v>
      </c>
      <c r="F996" t="str">
        <f>TEXT(G996,"MMMM")</f>
        <v>April</v>
      </c>
      <c r="G996" s="3">
        <v>45046</v>
      </c>
      <c r="H996" s="4" t="s">
        <v>1028</v>
      </c>
      <c r="I996" s="4" t="s">
        <v>3</v>
      </c>
      <c r="J996" s="4" t="str">
        <f>IF(K996&lt;30, "Young Adult","Adult")</f>
        <v>Adult</v>
      </c>
      <c r="K996" s="4">
        <v>41</v>
      </c>
      <c r="L996" s="4" t="s">
        <v>7</v>
      </c>
      <c r="M996" s="4">
        <v>1</v>
      </c>
      <c r="N996" s="5">
        <v>30</v>
      </c>
      <c r="O996">
        <f>(M996*N996)</f>
        <v>30</v>
      </c>
      <c r="P996">
        <f>O996*$S$3</f>
        <v>0.44999999999999996</v>
      </c>
      <c r="Q996">
        <f>O996*$S$4</f>
        <v>0.6</v>
      </c>
    </row>
    <row r="997" spans="1:17">
      <c r="A997" s="2">
        <v>996</v>
      </c>
      <c r="B997" s="4">
        <f>DAY(G997)</f>
        <v>16</v>
      </c>
      <c r="C997">
        <f>MONTH(G997)</f>
        <v>5</v>
      </c>
      <c r="D997">
        <f>YEAR(G997)</f>
        <v>2023</v>
      </c>
      <c r="E997" t="str">
        <f>TEXT(G997,"DDDD")</f>
        <v>Tuesday</v>
      </c>
      <c r="F997" t="str">
        <f>TEXT(G997,"MMMM")</f>
        <v>May</v>
      </c>
      <c r="G997" s="3">
        <v>45062</v>
      </c>
      <c r="H997" s="4" t="s">
        <v>1029</v>
      </c>
      <c r="I997" s="4" t="s">
        <v>4</v>
      </c>
      <c r="J997" s="4" t="str" cm="1">
        <f t="array" ref="J997">_xlfn.IFS(K2&gt;=30,"Senior",K2&gt;=30,"Adult",K2&lt;30,"Young Adult")</f>
        <v>Senior</v>
      </c>
      <c r="K997" s="4">
        <v>62</v>
      </c>
      <c r="L997" s="4" t="s">
        <v>7</v>
      </c>
      <c r="M997" s="4">
        <v>1</v>
      </c>
      <c r="N997" s="5">
        <v>50</v>
      </c>
      <c r="O997">
        <f>(M997*N997)</f>
        <v>50</v>
      </c>
      <c r="P997">
        <f>O997*$S$3</f>
        <v>0.75</v>
      </c>
      <c r="Q997">
        <f>O997*$S$4</f>
        <v>1</v>
      </c>
    </row>
    <row r="998" spans="1:17">
      <c r="A998" s="2">
        <v>997</v>
      </c>
      <c r="B998" s="4">
        <f>DAY(G998)</f>
        <v>17</v>
      </c>
      <c r="C998">
        <f>MONTH(G998)</f>
        <v>11</v>
      </c>
      <c r="D998">
        <f>YEAR(G998)</f>
        <v>2023</v>
      </c>
      <c r="E998" t="str">
        <f>TEXT(G998,"DDDD")</f>
        <v>Friday</v>
      </c>
      <c r="F998" t="str">
        <f>TEXT(G998,"MMMM")</f>
        <v>November</v>
      </c>
      <c r="G998" s="3">
        <v>45247</v>
      </c>
      <c r="H998" s="4" t="s">
        <v>1030</v>
      </c>
      <c r="I998" s="4" t="s">
        <v>4</v>
      </c>
      <c r="J998" s="4" t="str" cm="1">
        <f t="array" ref="J998">_xlfn.IFS(K2&gt;=30,"Senior",K2&gt;=30,"Adult",K2&lt;30,"Young Adult")</f>
        <v>Senior</v>
      </c>
      <c r="K998" s="4">
        <v>52</v>
      </c>
      <c r="L998" s="4" t="s">
        <v>6</v>
      </c>
      <c r="M998" s="4">
        <v>3</v>
      </c>
      <c r="N998" s="5">
        <v>30</v>
      </c>
      <c r="O998">
        <f>(M998*N998)</f>
        <v>90</v>
      </c>
      <c r="P998">
        <f>O998*$S$3</f>
        <v>1.3499999999999999</v>
      </c>
      <c r="Q998">
        <f>O998*$S$4</f>
        <v>1.8</v>
      </c>
    </row>
    <row r="999" spans="1:17">
      <c r="A999" s="2">
        <v>998</v>
      </c>
      <c r="B999" s="4">
        <f>DAY(G999)</f>
        <v>29</v>
      </c>
      <c r="C999">
        <f>MONTH(G999)</f>
        <v>10</v>
      </c>
      <c r="D999">
        <f>YEAR(G999)</f>
        <v>2023</v>
      </c>
      <c r="E999" t="str">
        <f>TEXT(G999,"DDDD")</f>
        <v>Sunday</v>
      </c>
      <c r="F999" t="str">
        <f>TEXT(G999,"MMMM")</f>
        <v>October</v>
      </c>
      <c r="G999" s="3">
        <v>45228</v>
      </c>
      <c r="H999" s="4" t="s">
        <v>1031</v>
      </c>
      <c r="I999" s="4" t="s">
        <v>3</v>
      </c>
      <c r="J999" s="4" t="str">
        <f>IF(K999&lt;30, "Young Adult","Adult")</f>
        <v>Young Adult</v>
      </c>
      <c r="K999" s="4">
        <v>23</v>
      </c>
      <c r="L999" s="4" t="s">
        <v>6</v>
      </c>
      <c r="M999" s="4">
        <v>4</v>
      </c>
      <c r="N999" s="5">
        <v>25</v>
      </c>
      <c r="O999">
        <f>(M999*N999)</f>
        <v>100</v>
      </c>
      <c r="P999">
        <f>O999*$S$3</f>
        <v>1.5</v>
      </c>
      <c r="Q999">
        <f>O999*$S$4</f>
        <v>2</v>
      </c>
    </row>
    <row r="1000" spans="1:17">
      <c r="A1000" s="2">
        <v>999</v>
      </c>
      <c r="B1000" s="4">
        <f>DAY(G1000)</f>
        <v>5</v>
      </c>
      <c r="C1000">
        <f>MONTH(G1000)</f>
        <v>12</v>
      </c>
      <c r="D1000">
        <f>YEAR(G1000)</f>
        <v>2023</v>
      </c>
      <c r="E1000" t="str">
        <f>TEXT(G1000,"DDDD")</f>
        <v>Tuesday</v>
      </c>
      <c r="F1000" t="str">
        <f>TEXT(G1000,"MMMM")</f>
        <v>December</v>
      </c>
      <c r="G1000" s="3">
        <v>45265</v>
      </c>
      <c r="H1000" s="4" t="s">
        <v>1032</v>
      </c>
      <c r="I1000" s="4" t="s">
        <v>3</v>
      </c>
      <c r="J1000" s="4" t="str">
        <f>IF(K1000&lt;30, "Young Adult","Adult")</f>
        <v>Adult</v>
      </c>
      <c r="K1000" s="4">
        <v>36</v>
      </c>
      <c r="L1000" s="4" t="s">
        <v>8</v>
      </c>
      <c r="M1000" s="4">
        <v>3</v>
      </c>
      <c r="N1000" s="5">
        <v>50</v>
      </c>
      <c r="O1000">
        <f>(M1000*N1000)</f>
        <v>150</v>
      </c>
      <c r="P1000">
        <f>O1000*$S$3</f>
        <v>2.25</v>
      </c>
      <c r="Q1000">
        <f>O1000*$S$4</f>
        <v>3</v>
      </c>
    </row>
    <row r="1001" spans="1:17">
      <c r="A1001" s="6">
        <v>1000</v>
      </c>
      <c r="B1001" s="4">
        <f>DAY(G1001)</f>
        <v>12</v>
      </c>
      <c r="C1001">
        <f>MONTH(G1001)</f>
        <v>4</v>
      </c>
      <c r="D1001">
        <f>YEAR(G1001)</f>
        <v>2023</v>
      </c>
      <c r="E1001" t="str">
        <f>TEXT(G1001,"DDDD")</f>
        <v>Wednesday</v>
      </c>
      <c r="F1001" t="str">
        <f>TEXT(G1001,"MMMM")</f>
        <v>April</v>
      </c>
      <c r="G1001" s="7">
        <v>45028</v>
      </c>
      <c r="H1001" s="8" t="s">
        <v>1033</v>
      </c>
      <c r="I1001" s="8" t="s">
        <v>4</v>
      </c>
      <c r="J1001" s="4" t="str">
        <f>IF(K1001&lt;30, "Young Adult","Adult")</f>
        <v>Adult</v>
      </c>
      <c r="K1001" s="8">
        <v>47</v>
      </c>
      <c r="L1001" s="8" t="s">
        <v>8</v>
      </c>
      <c r="M1001" s="8">
        <v>4</v>
      </c>
      <c r="N1001" s="9">
        <v>30</v>
      </c>
      <c r="O1001">
        <f>(M1001*N1001)</f>
        <v>120</v>
      </c>
      <c r="P1001">
        <f>O1001*$S$3</f>
        <v>1.7999999999999998</v>
      </c>
      <c r="Q1001">
        <f>O1001*$S$4</f>
        <v>2.4</v>
      </c>
    </row>
  </sheetData>
  <autoFilter ref="A1:S1001" xr:uid="{00000000-0001-0000-0000-000000000000}"/>
  <conditionalFormatting sqref="S10:S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0:S1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S13">
    <cfRule type="colorScale" priority="2">
      <colorScale>
        <cfvo type="min"/>
        <cfvo type="max"/>
        <color rgb="FFFFEF9C"/>
        <color rgb="FF63BE7B"/>
      </colorScale>
    </cfRule>
  </conditionalFormatting>
  <conditionalFormatting sqref="J1:J1048576">
    <cfRule type="aboveAverage" dxfId="0" priority="1"/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9D63B98ED13E4AA09F5BD2F3A51076" ma:contentTypeVersion="3" ma:contentTypeDescription="Create a new document." ma:contentTypeScope="" ma:versionID="33b6707e0726b82edbbfdd80f4954598">
  <xsd:schema xmlns:xsd="http://www.w3.org/2001/XMLSchema" xmlns:xs="http://www.w3.org/2001/XMLSchema" xmlns:p="http://schemas.microsoft.com/office/2006/metadata/properties" xmlns:ns2="53dfc049-f9cd-47de-9911-c50dc750c68a" targetNamespace="http://schemas.microsoft.com/office/2006/metadata/properties" ma:root="true" ma:fieldsID="5e4c21100d576d9bce5a7ded16a72801" ns2:_="">
    <xsd:import namespace="53dfc049-f9cd-47de-9911-c50dc750c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c049-f9cd-47de-9911-c50dc750c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6A238311-EE1E-4F00-870C-F1577541CA78}"/>
</file>

<file path=customXml/itemProps2.xml><?xml version="1.0" encoding="utf-8"?>
<ds:datastoreItem xmlns:ds="http://schemas.openxmlformats.org/officeDocument/2006/customXml" ds:itemID="{DD9334D5-6C08-4A46-AD2C-FA9BF6D4670C}"/>
</file>

<file path=customXml/itemProps3.xml><?xml version="1.0" encoding="utf-8"?>
<ds:datastoreItem xmlns:ds="http://schemas.openxmlformats.org/officeDocument/2006/customXml" ds:itemID="{15575EC4-E142-4B68-9BA1-7D9F83EA5067}"/>
</file>

<file path=customXml/itemProps4.xml><?xml version="1.0" encoding="utf-8"?>
<ds:datastoreItem xmlns:ds="http://schemas.openxmlformats.org/officeDocument/2006/customXml" ds:itemID="{19C66761-A138-4D29-95EB-4CF018C84C81}"/>
</file>

<file path=customXml/itemProps5.xml><?xml version="1.0" encoding="utf-8"?>
<ds:datastoreItem xmlns:ds="http://schemas.openxmlformats.org/officeDocument/2006/customXml" ds:itemID="{6DA07CEC-807D-4764-A388-A6BBED7640E0}"/>
</file>

<file path=customXml/itemProps6.xml><?xml version="1.0" encoding="utf-8"?>
<ds:datastoreItem xmlns:ds="http://schemas.openxmlformats.org/officeDocument/2006/customXml" ds:itemID="{82F3FFA2-A909-498D-9BC6-33DF5B99923B}"/>
</file>

<file path=customXml/itemProps7.xml><?xml version="1.0" encoding="utf-8"?>
<ds:datastoreItem xmlns:ds="http://schemas.openxmlformats.org/officeDocument/2006/customXml" ds:itemID="{B0863CD4-1E7A-4D88-A05C-62E37A52A464}"/>
</file>

<file path=customXml/itemProps8.xml><?xml version="1.0" encoding="utf-8"?>
<ds:datastoreItem xmlns:ds="http://schemas.openxmlformats.org/officeDocument/2006/customXml" ds:itemID="{0ECF1352-6F0C-4E7B-8AFB-2EA761E69D98}"/>
</file>

<file path=customXml/itemProps9.xml><?xml version="1.0" encoding="utf-8"?>
<ds:datastoreItem xmlns:ds="http://schemas.openxmlformats.org/officeDocument/2006/customXml" ds:itemID="{3E8CB0BE-C4BA-4913-9C77-CD4B1441093A}"/>
</file>

<file path=customXml/itemProps10.xml><?xml version="1.0" encoding="utf-8"?>
<ds:datastoreItem xmlns:ds="http://schemas.openxmlformats.org/officeDocument/2006/customXml" ds:itemID="{A85E162B-7A50-4957-AE78-A5F153441C86}"/>
</file>

<file path=customXml/itemProps11.xml><?xml version="1.0" encoding="utf-8"?>
<ds:datastoreItem xmlns:ds="http://schemas.openxmlformats.org/officeDocument/2006/customXml" ds:itemID="{E643224C-1CC4-4A7F-A567-22ECFBDF619E}"/>
</file>

<file path=customXml/itemProps12.xml><?xml version="1.0" encoding="utf-8"?>
<ds:datastoreItem xmlns:ds="http://schemas.openxmlformats.org/officeDocument/2006/customXml" ds:itemID="{DCA8B30C-DBAC-45C5-A1A4-BC41D6221FF2}"/>
</file>

<file path=customXml/itemProps13.xml><?xml version="1.0" encoding="utf-8"?>
<ds:datastoreItem xmlns:ds="http://schemas.openxmlformats.org/officeDocument/2006/customXml" ds:itemID="{FE6DF61C-7ABD-44B9-B769-8F2899BB81F7}"/>
</file>

<file path=customXml/itemProps14.xml><?xml version="1.0" encoding="utf-8"?>
<ds:datastoreItem xmlns:ds="http://schemas.openxmlformats.org/officeDocument/2006/customXml" ds:itemID="{A4B88D49-EA58-47E5-AA07-36D60BC9149C}"/>
</file>

<file path=customXml/itemProps15.xml><?xml version="1.0" encoding="utf-8"?>
<ds:datastoreItem xmlns:ds="http://schemas.openxmlformats.org/officeDocument/2006/customXml" ds:itemID="{06D295F5-8058-4546-A127-35DC9120150C}"/>
</file>

<file path=customXml/itemProps16.xml><?xml version="1.0" encoding="utf-8"?>
<ds:datastoreItem xmlns:ds="http://schemas.openxmlformats.org/officeDocument/2006/customXml" ds:itemID="{B46F128A-B7FE-46C0-9B9B-600600B1B28E}"/>
</file>

<file path=customXml/itemProps17.xml><?xml version="1.0" encoding="utf-8"?>
<ds:datastoreItem xmlns:ds="http://schemas.openxmlformats.org/officeDocument/2006/customXml" ds:itemID="{8B7F014E-65B1-48DD-A1AF-A79E02398FCF}"/>
</file>

<file path=customXml/itemProps18.xml><?xml version="1.0" encoding="utf-8"?>
<ds:datastoreItem xmlns:ds="http://schemas.openxmlformats.org/officeDocument/2006/customXml" ds:itemID="{09B95C5D-16BB-4BEF-B316-6D3A8C9DD811}"/>
</file>

<file path=customXml/itemProps19.xml><?xml version="1.0" encoding="utf-8"?>
<ds:datastoreItem xmlns:ds="http://schemas.openxmlformats.org/officeDocument/2006/customXml" ds:itemID="{E2D36A1E-236C-4E19-9955-D6B07E5D30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2025-11-18T12:30:22Z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0x010100669D63B98ED13E4AA09F5BD2F3A51076</vt:lpwstr>
  </property>
  <property fmtid="{D5CDD505-2E9C-101B-9397-08002B2CF9AE}" pid="3" name="Order">
    <vt:r8>700</vt:r8>
  </property>
</Properties>
</file>